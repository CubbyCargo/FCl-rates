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202300"/>
  <mc:AlternateContent xmlns:mc="http://schemas.openxmlformats.org/markup-compatibility/2006">
    <mc:Choice Requires="x15">
      <x15ac:absPath xmlns:x15ac="http://schemas.microsoft.com/office/spreadsheetml/2010/11/ac" url="C:\Users\stephanie.galera.RAMPSLOGISTICS\Downloads\"/>
    </mc:Choice>
  </mc:AlternateContent>
  <xr:revisionPtr revIDLastSave="0" documentId="13_ncr:1_{2286176C-0FBA-469F-94F4-5ECE677BD8FF}" xr6:coauthVersionLast="47" xr6:coauthVersionMax="47" xr10:uidLastSave="{00000000-0000-0000-0000-000000000000}"/>
  <bookViews>
    <workbookView xWindow="28680" yWindow="-120" windowWidth="29040" windowHeight="15720" xr2:uid="{493693A0-0616-4273-B364-7C8DEB21885C}"/>
  </bookViews>
  <sheets>
    <sheet name="TT" sheetId="28" r:id="rId1"/>
    <sheet name="GUY" sheetId="25" r:id="rId2"/>
    <sheet name="SUR" sheetId="21" r:id="rId3"/>
    <sheet name="Trinidad Exports" sheetId="27" r:id="rId4"/>
    <sheet name="COL" sheetId="24"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4" i="21" l="1"/>
  <c r="E83" i="21"/>
  <c r="E75" i="21"/>
  <c r="E74" i="21"/>
  <c r="E71" i="21"/>
  <c r="E70" i="21"/>
  <c r="E67" i="21"/>
  <c r="E66" i="21"/>
  <c r="E63" i="21"/>
  <c r="E62" i="21"/>
  <c r="E59" i="21"/>
  <c r="E58" i="21"/>
  <c r="L181" i="28"/>
  <c r="N181" i="28"/>
  <c r="L180" i="28"/>
  <c r="N180" i="28"/>
  <c r="E77" i="25"/>
  <c r="E78" i="25"/>
  <c r="E74" i="25"/>
  <c r="E73" i="25"/>
  <c r="E70" i="25"/>
  <c r="E69" i="25"/>
  <c r="E68" i="25"/>
  <c r="E67" i="25"/>
  <c r="E64" i="25"/>
  <c r="E63" i="25"/>
  <c r="E62" i="25"/>
  <c r="E61" i="25"/>
  <c r="E60" i="25"/>
  <c r="E59" i="25"/>
  <c r="E58" i="25"/>
  <c r="E57" i="25"/>
  <c r="E61" i="28"/>
  <c r="E60" i="28"/>
  <c r="L60" i="28"/>
  <c r="N60" i="28"/>
  <c r="L61" i="28"/>
  <c r="N61" i="28"/>
  <c r="E100" i="28"/>
  <c r="E74" i="28"/>
  <c r="E75" i="28"/>
  <c r="E69" i="28"/>
  <c r="E68" i="28"/>
  <c r="E65" i="28"/>
  <c r="E64" i="28"/>
  <c r="E106" i="28"/>
  <c r="E105" i="28"/>
  <c r="E93" i="28"/>
  <c r="E92" i="28"/>
  <c r="E89" i="28"/>
  <c r="E88" i="28"/>
  <c r="E85" i="28"/>
  <c r="E84" i="28"/>
  <c r="E79" i="28"/>
  <c r="E78" i="28"/>
  <c r="E81" i="28"/>
  <c r="E80" i="28"/>
  <c r="E77" i="28"/>
  <c r="E76" i="28"/>
  <c r="E73" i="28"/>
  <c r="E72" i="28"/>
  <c r="E71" i="28"/>
  <c r="E70" i="28"/>
  <c r="E67" i="28"/>
  <c r="E66" i="28"/>
  <c r="K170" i="28"/>
  <c r="M170" i="28"/>
  <c r="K169" i="28"/>
  <c r="M169" i="28"/>
  <c r="E63" i="28"/>
  <c r="E62" i="28"/>
  <c r="E59" i="28"/>
  <c r="E58" i="28"/>
  <c r="E110" i="28"/>
  <c r="E109" i="28"/>
  <c r="E97" i="28"/>
  <c r="E96" i="28"/>
  <c r="E39" i="25"/>
  <c r="I39" i="25"/>
  <c r="K39" i="25"/>
  <c r="E38" i="25"/>
  <c r="I38" i="25"/>
  <c r="K38" i="25"/>
  <c r="E37" i="25"/>
  <c r="I37" i="25"/>
  <c r="K37" i="25"/>
  <c r="E36" i="25"/>
  <c r="I36" i="25"/>
  <c r="K36" i="25"/>
  <c r="K138" i="21"/>
  <c r="M138" i="21"/>
  <c r="K137" i="21"/>
  <c r="M137" i="21"/>
  <c r="E20" i="24"/>
  <c r="E19" i="24"/>
  <c r="J130" i="25"/>
  <c r="L130" i="25"/>
  <c r="J129" i="25"/>
  <c r="L129" i="25"/>
  <c r="K151" i="28"/>
  <c r="M151" i="28"/>
  <c r="K150" i="28"/>
  <c r="M150" i="28"/>
  <c r="L97" i="28"/>
  <c r="N97" i="28"/>
  <c r="L96" i="28"/>
  <c r="N96" i="28"/>
  <c r="L92" i="28"/>
  <c r="N92" i="28"/>
  <c r="L89" i="28"/>
  <c r="N89" i="28"/>
  <c r="L88" i="28"/>
  <c r="N88" i="28"/>
  <c r="L84" i="28"/>
  <c r="N84" i="28"/>
  <c r="L69" i="28"/>
  <c r="N69" i="28"/>
  <c r="L68" i="28"/>
  <c r="N68" i="28"/>
  <c r="L65" i="28"/>
  <c r="N65" i="28"/>
  <c r="L64" i="28"/>
  <c r="N64" i="28"/>
  <c r="L78" i="28"/>
  <c r="N78" i="28"/>
  <c r="L73" i="28"/>
  <c r="N73" i="28"/>
  <c r="L72" i="28"/>
  <c r="N72" i="28"/>
  <c r="L71" i="28"/>
  <c r="N71" i="28"/>
  <c r="L66" i="28"/>
  <c r="N66" i="28"/>
  <c r="L63" i="28"/>
  <c r="N63" i="28"/>
  <c r="L62" i="28"/>
  <c r="N62" i="28"/>
  <c r="L59" i="28"/>
  <c r="N59" i="28"/>
  <c r="J78" i="25"/>
  <c r="L78" i="25"/>
  <c r="J77" i="25"/>
  <c r="L77" i="25"/>
  <c r="E40" i="28"/>
  <c r="I40" i="28"/>
  <c r="K40" i="28"/>
  <c r="E38" i="28"/>
  <c r="I38" i="28"/>
  <c r="K38" i="28"/>
  <c r="E37" i="28"/>
  <c r="I37" i="28"/>
  <c r="K37" i="28"/>
  <c r="K84" i="21"/>
  <c r="M84" i="21"/>
  <c r="K83" i="21"/>
  <c r="M83" i="21"/>
  <c r="K75" i="21"/>
  <c r="M75" i="21"/>
  <c r="K74" i="21"/>
  <c r="M74" i="21"/>
  <c r="K71" i="21"/>
  <c r="M71" i="21"/>
  <c r="K70" i="21"/>
  <c r="M70" i="21"/>
  <c r="K58" i="21"/>
  <c r="M58" i="21"/>
  <c r="J69" i="25"/>
  <c r="L69" i="25"/>
  <c r="J63" i="25"/>
  <c r="L63" i="25"/>
  <c r="J62" i="25"/>
  <c r="L62" i="25"/>
  <c r="L93" i="28"/>
  <c r="N93" i="28"/>
  <c r="L74" i="28"/>
  <c r="N74" i="28"/>
  <c r="L67" i="28"/>
  <c r="N67" i="28"/>
  <c r="E16" i="21"/>
  <c r="E15" i="21"/>
  <c r="K15" i="21"/>
  <c r="M15" i="21"/>
  <c r="E14" i="21"/>
  <c r="E13" i="21"/>
  <c r="E12" i="21"/>
  <c r="E11" i="21"/>
  <c r="E21" i="28"/>
  <c r="E20" i="28"/>
  <c r="E19" i="28"/>
  <c r="K19" i="28"/>
  <c r="M19" i="28"/>
  <c r="E18" i="28"/>
  <c r="K18" i="28"/>
  <c r="M18" i="28"/>
  <c r="E17" i="28"/>
  <c r="K17" i="28"/>
  <c r="M17" i="28"/>
  <c r="E16" i="28"/>
  <c r="K16" i="28"/>
  <c r="M16" i="28"/>
  <c r="E15" i="28"/>
  <c r="K15" i="28"/>
  <c r="M15" i="28"/>
  <c r="E14" i="28"/>
  <c r="E18" i="25"/>
  <c r="E17" i="25"/>
  <c r="K17" i="25"/>
  <c r="M17" i="25"/>
  <c r="E16" i="25"/>
  <c r="E15" i="25"/>
  <c r="E14" i="25"/>
  <c r="K14" i="25"/>
  <c r="M14" i="25"/>
  <c r="E13" i="25"/>
  <c r="E12" i="25"/>
  <c r="K12" i="25"/>
  <c r="M12" i="25"/>
  <c r="E11" i="25"/>
  <c r="E13" i="28"/>
  <c r="E12" i="28"/>
  <c r="E140" i="21"/>
  <c r="K140" i="21"/>
  <c r="E139" i="21"/>
  <c r="K139" i="21"/>
  <c r="M139" i="21"/>
  <c r="M140" i="21"/>
  <c r="E153" i="28"/>
  <c r="K153" i="28"/>
  <c r="M153" i="28"/>
  <c r="E152" i="28"/>
  <c r="E132" i="25"/>
  <c r="J132" i="25"/>
  <c r="L132" i="25"/>
  <c r="E131" i="25"/>
  <c r="J131" i="25"/>
  <c r="L131" i="25"/>
  <c r="L100" i="28"/>
  <c r="N100" i="28"/>
  <c r="J27" i="27"/>
  <c r="J26" i="27"/>
  <c r="L26" i="27"/>
  <c r="L27" i="27"/>
  <c r="J19" i="27"/>
  <c r="L19" i="27"/>
  <c r="J18" i="27"/>
  <c r="L18" i="27"/>
  <c r="E101" i="28"/>
  <c r="L101" i="28"/>
  <c r="N101" i="28"/>
  <c r="E102" i="28"/>
  <c r="L102" i="28"/>
  <c r="N102" i="28"/>
  <c r="I39" i="28"/>
  <c r="K39" i="28"/>
  <c r="E144" i="28"/>
  <c r="K144" i="28"/>
  <c r="E145" i="28"/>
  <c r="K145" i="28"/>
  <c r="M145" i="28"/>
  <c r="K152" i="28"/>
  <c r="M152" i="28"/>
  <c r="K143" i="28"/>
  <c r="I127" i="28"/>
  <c r="K127" i="28"/>
  <c r="I128" i="28"/>
  <c r="K128" i="28"/>
  <c r="L58" i="28"/>
  <c r="N58" i="28"/>
  <c r="L70" i="28"/>
  <c r="N70" i="28"/>
  <c r="L75" i="28"/>
  <c r="N75" i="28"/>
  <c r="L76" i="28"/>
  <c r="N76" i="28"/>
  <c r="L77" i="28"/>
  <c r="N77" i="28"/>
  <c r="L79" i="28"/>
  <c r="N79" i="28"/>
  <c r="L80" i="28"/>
  <c r="N80" i="28"/>
  <c r="L81" i="28"/>
  <c r="N81" i="28"/>
  <c r="L85" i="28"/>
  <c r="N85" i="28"/>
  <c r="L105" i="28"/>
  <c r="N105" i="28"/>
  <c r="L106" i="28"/>
  <c r="N106" i="28"/>
  <c r="L109" i="28"/>
  <c r="N109" i="28"/>
  <c r="L110" i="28"/>
  <c r="N110" i="28"/>
  <c r="K10" i="28"/>
  <c r="M10" i="28"/>
  <c r="K11" i="28"/>
  <c r="M11" i="28"/>
  <c r="K12" i="28"/>
  <c r="M12" i="28"/>
  <c r="K13" i="28"/>
  <c r="M13" i="28"/>
  <c r="K14" i="28"/>
  <c r="M14" i="28"/>
  <c r="K20" i="28"/>
  <c r="M20" i="28"/>
  <c r="K21" i="28"/>
  <c r="M21" i="28"/>
  <c r="L11" i="27"/>
  <c r="L10" i="27"/>
  <c r="J61" i="25"/>
  <c r="L61" i="25"/>
  <c r="G31" i="27"/>
  <c r="G30" i="27"/>
  <c r="E31" i="27"/>
  <c r="E30" i="27"/>
  <c r="I31" i="27"/>
  <c r="K31" i="27"/>
  <c r="I30" i="27"/>
  <c r="K30" i="27"/>
  <c r="E27" i="27"/>
  <c r="E26" i="27"/>
  <c r="E22" i="27"/>
  <c r="E23" i="27"/>
  <c r="I23" i="27"/>
  <c r="K23" i="27"/>
  <c r="I22" i="27"/>
  <c r="K22" i="27"/>
  <c r="N14" i="27"/>
  <c r="N15" i="27"/>
  <c r="P15" i="27"/>
  <c r="P14" i="27"/>
  <c r="N11" i="27"/>
  <c r="N10" i="27"/>
  <c r="J70" i="25"/>
  <c r="L70" i="25"/>
  <c r="K59" i="21"/>
  <c r="M59" i="21"/>
  <c r="J74" i="25"/>
  <c r="L74" i="25"/>
  <c r="J73" i="25"/>
  <c r="L73" i="25"/>
  <c r="J68" i="25"/>
  <c r="L68" i="25"/>
  <c r="J67" i="25"/>
  <c r="L67" i="25"/>
  <c r="J64" i="25"/>
  <c r="L64" i="25"/>
  <c r="J58" i="25"/>
  <c r="L58" i="25"/>
  <c r="J57" i="25"/>
  <c r="L57" i="25"/>
  <c r="K19" i="24"/>
  <c r="M19" i="24"/>
  <c r="K20" i="24"/>
  <c r="M20" i="24"/>
  <c r="J60" i="25"/>
  <c r="L60" i="25"/>
  <c r="J59" i="25"/>
  <c r="L59" i="25"/>
  <c r="K119" i="21"/>
  <c r="M119" i="21"/>
  <c r="K118" i="21"/>
  <c r="M118" i="21"/>
  <c r="K80" i="21"/>
  <c r="M80" i="21"/>
  <c r="K79" i="21"/>
  <c r="M79" i="21"/>
  <c r="K67" i="21"/>
  <c r="M67" i="21"/>
  <c r="K66" i="21"/>
  <c r="M66" i="21"/>
  <c r="K63" i="21"/>
  <c r="M63" i="21"/>
  <c r="K62" i="21"/>
  <c r="M62" i="21"/>
  <c r="K11" i="21"/>
  <c r="M11" i="21"/>
  <c r="K15" i="24"/>
  <c r="M15" i="24"/>
  <c r="K16" i="24"/>
  <c r="M16" i="24"/>
  <c r="K13" i="24"/>
  <c r="M13" i="24"/>
  <c r="K14" i="24"/>
  <c r="M14" i="24"/>
  <c r="J117" i="25"/>
  <c r="L117" i="25"/>
  <c r="J116" i="25"/>
  <c r="L116" i="25"/>
  <c r="J97" i="25"/>
  <c r="L97" i="25"/>
  <c r="J96" i="25"/>
  <c r="L96" i="25"/>
  <c r="VGO67" i="25"/>
  <c r="VGQ67" i="25"/>
  <c r="VFY67" i="25"/>
  <c r="VGA67" i="25"/>
  <c r="VFI67" i="25"/>
  <c r="VFK67" i="25"/>
  <c r="VES67" i="25"/>
  <c r="VEU67" i="25"/>
  <c r="VEC67" i="25"/>
  <c r="VEE67" i="25"/>
  <c r="VDM67" i="25"/>
  <c r="VDO67" i="25"/>
  <c r="VCW67" i="25"/>
  <c r="VCY67" i="25"/>
  <c r="VCG67" i="25"/>
  <c r="VCI67" i="25"/>
  <c r="VBQ67" i="25"/>
  <c r="VBS67" i="25"/>
  <c r="VBA67" i="25"/>
  <c r="VBC67" i="25"/>
  <c r="VAK67" i="25"/>
  <c r="VAM67" i="25"/>
  <c r="UZU67" i="25"/>
  <c r="UZW67" i="25"/>
  <c r="UZE67" i="25"/>
  <c r="UZG67" i="25"/>
  <c r="UYO67" i="25"/>
  <c r="UYQ67" i="25"/>
  <c r="UXY67" i="25"/>
  <c r="UYA67" i="25"/>
  <c r="UXI67" i="25"/>
  <c r="UXK67" i="25"/>
  <c r="UWS67" i="25"/>
  <c r="UWU67" i="25"/>
  <c r="UWC67" i="25"/>
  <c r="UWE67" i="25"/>
  <c r="UVM67" i="25"/>
  <c r="UVO67" i="25"/>
  <c r="UUW67" i="25"/>
  <c r="UUY67" i="25"/>
  <c r="UUG67" i="25"/>
  <c r="UUI67" i="25"/>
  <c r="UTQ67" i="25"/>
  <c r="UTS67" i="25"/>
  <c r="UTA67" i="25"/>
  <c r="UTC67" i="25"/>
  <c r="USK67" i="25"/>
  <c r="USM67" i="25"/>
  <c r="URU67" i="25"/>
  <c r="URW67" i="25"/>
  <c r="URE67" i="25"/>
  <c r="URG67" i="25"/>
  <c r="UQO67" i="25"/>
  <c r="UQQ67" i="25"/>
  <c r="UPY67" i="25"/>
  <c r="UQA67" i="25"/>
  <c r="UPI67" i="25"/>
  <c r="UPK67" i="25"/>
  <c r="UOS67" i="25"/>
  <c r="UOU67" i="25"/>
  <c r="UOC67" i="25"/>
  <c r="UOE67" i="25"/>
  <c r="UNM67" i="25"/>
  <c r="UNO67" i="25"/>
  <c r="UMW67" i="25"/>
  <c r="UMY67" i="25"/>
  <c r="UMG67" i="25"/>
  <c r="UMI67" i="25"/>
  <c r="ULQ67" i="25"/>
  <c r="ULS67" i="25"/>
  <c r="ULA67" i="25"/>
  <c r="ULC67" i="25"/>
  <c r="UKK67" i="25"/>
  <c r="UKM67" i="25"/>
  <c r="UJU67" i="25"/>
  <c r="UJW67" i="25"/>
  <c r="UJE67" i="25"/>
  <c r="UJG67" i="25"/>
  <c r="UIO67" i="25"/>
  <c r="UIQ67" i="25"/>
  <c r="UHY67" i="25"/>
  <c r="UIA67" i="25"/>
  <c r="UHI67" i="25"/>
  <c r="UHK67" i="25"/>
  <c r="UGS67" i="25"/>
  <c r="UGU67" i="25"/>
  <c r="UGC67" i="25"/>
  <c r="UGE67" i="25"/>
  <c r="UFM67" i="25"/>
  <c r="UFO67" i="25"/>
  <c r="UEW67" i="25"/>
  <c r="UEY67" i="25"/>
  <c r="UEG67" i="25"/>
  <c r="UEI67" i="25"/>
  <c r="UDQ67" i="25"/>
  <c r="UDS67" i="25"/>
  <c r="UDA67" i="25"/>
  <c r="UDC67" i="25"/>
  <c r="UCK67" i="25"/>
  <c r="UCM67" i="25"/>
  <c r="UBU67" i="25"/>
  <c r="UBW67" i="25"/>
  <c r="UBE67" i="25"/>
  <c r="UBG67" i="25"/>
  <c r="UAO67" i="25"/>
  <c r="UAQ67" i="25"/>
  <c r="TZY67" i="25"/>
  <c r="UAA67" i="25"/>
  <c r="TZI67" i="25"/>
  <c r="TZK67" i="25"/>
  <c r="TYS67" i="25"/>
  <c r="TYU67" i="25"/>
  <c r="TYC67" i="25"/>
  <c r="TYE67" i="25"/>
  <c r="TXM67" i="25"/>
  <c r="TXO67" i="25"/>
  <c r="TWW67" i="25"/>
  <c r="TWY67" i="25"/>
  <c r="TWG67" i="25"/>
  <c r="TWI67" i="25"/>
  <c r="TVQ67" i="25"/>
  <c r="TVS67" i="25"/>
  <c r="TVA67" i="25"/>
  <c r="TVC67" i="25"/>
  <c r="TUK67" i="25"/>
  <c r="TUM67" i="25"/>
  <c r="TTU67" i="25"/>
  <c r="TTW67" i="25"/>
  <c r="TTE67" i="25"/>
  <c r="TTG67" i="25"/>
  <c r="TSO67" i="25"/>
  <c r="TSQ67" i="25"/>
  <c r="TRY67" i="25"/>
  <c r="TSA67" i="25"/>
  <c r="TRI67" i="25"/>
  <c r="TRK67" i="25"/>
  <c r="TQS67" i="25"/>
  <c r="TQU67" i="25"/>
  <c r="TQC67" i="25"/>
  <c r="TQE67" i="25"/>
  <c r="TPM67" i="25"/>
  <c r="TPO67" i="25"/>
  <c r="TOW67" i="25"/>
  <c r="TOY67" i="25"/>
  <c r="TOG67" i="25"/>
  <c r="TOI67" i="25"/>
  <c r="TNQ67" i="25"/>
  <c r="TNS67" i="25"/>
  <c r="TNA67" i="25"/>
  <c r="TNC67" i="25"/>
  <c r="TMK67" i="25"/>
  <c r="TMM67" i="25"/>
  <c r="TLU67" i="25"/>
  <c r="TLW67" i="25"/>
  <c r="TLE67" i="25"/>
  <c r="TLG67" i="25"/>
  <c r="TKO67" i="25"/>
  <c r="TKQ67" i="25"/>
  <c r="TJY67" i="25"/>
  <c r="TKA67" i="25"/>
  <c r="TJI67" i="25"/>
  <c r="TJK67" i="25"/>
  <c r="TIS67" i="25"/>
  <c r="TIU67" i="25"/>
  <c r="TIC67" i="25"/>
  <c r="TIE67" i="25"/>
  <c r="THM67" i="25"/>
  <c r="THO67" i="25"/>
  <c r="TGW67" i="25"/>
  <c r="TGY67" i="25"/>
  <c r="TGG67" i="25"/>
  <c r="TGI67" i="25"/>
  <c r="TFQ67" i="25"/>
  <c r="TFS67" i="25"/>
  <c r="TFA67" i="25"/>
  <c r="TFC67" i="25"/>
  <c r="TEK67" i="25"/>
  <c r="TEM67" i="25"/>
  <c r="TDU67" i="25"/>
  <c r="TDW67" i="25"/>
  <c r="TDE67" i="25"/>
  <c r="TDG67" i="25"/>
  <c r="TCO67" i="25"/>
  <c r="TCQ67" i="25"/>
  <c r="TBY67" i="25"/>
  <c r="TCA67" i="25"/>
  <c r="TBI67" i="25"/>
  <c r="TBK67" i="25"/>
  <c r="TAS67" i="25"/>
  <c r="TAU67" i="25"/>
  <c r="TAC67" i="25"/>
  <c r="TAE67" i="25"/>
  <c r="SZM67" i="25"/>
  <c r="SZO67" i="25"/>
  <c r="SYW67" i="25"/>
  <c r="SYY67" i="25"/>
  <c r="SYG67" i="25"/>
  <c r="SYI67" i="25"/>
  <c r="SXQ67" i="25"/>
  <c r="SXS67" i="25"/>
  <c r="SXA67" i="25"/>
  <c r="SXC67" i="25"/>
  <c r="SWK67" i="25"/>
  <c r="SWM67" i="25"/>
  <c r="SVU67" i="25"/>
  <c r="SVW67" i="25"/>
  <c r="SVE67" i="25"/>
  <c r="SVG67" i="25"/>
  <c r="SUO67" i="25"/>
  <c r="SUQ67" i="25"/>
  <c r="STY67" i="25"/>
  <c r="SUA67" i="25"/>
  <c r="STI67" i="25"/>
  <c r="STK67" i="25"/>
  <c r="SSS67" i="25"/>
  <c r="SSU67" i="25"/>
  <c r="SSC67" i="25"/>
  <c r="SSE67" i="25"/>
  <c r="SRM67" i="25"/>
  <c r="SRO67" i="25"/>
  <c r="SQW67" i="25"/>
  <c r="SQY67" i="25"/>
  <c r="SQG67" i="25"/>
  <c r="SQI67" i="25"/>
  <c r="SPQ67" i="25"/>
  <c r="SPS67" i="25"/>
  <c r="SPA67" i="25"/>
  <c r="SPC67" i="25"/>
  <c r="SOK67" i="25"/>
  <c r="SOM67" i="25"/>
  <c r="SNU67" i="25"/>
  <c r="SNW67" i="25"/>
  <c r="SNE67" i="25"/>
  <c r="SNG67" i="25"/>
  <c r="SMO67" i="25"/>
  <c r="SMQ67" i="25"/>
  <c r="SLY67" i="25"/>
  <c r="SMA67" i="25"/>
  <c r="SLI67" i="25"/>
  <c r="SLK67" i="25"/>
  <c r="SKS67" i="25"/>
  <c r="SKU67" i="25"/>
  <c r="SKC67" i="25"/>
  <c r="SKE67" i="25"/>
  <c r="SJM67" i="25"/>
  <c r="SJO67" i="25"/>
  <c r="SIW67" i="25"/>
  <c r="SIY67" i="25"/>
  <c r="SIG67" i="25"/>
  <c r="SII67" i="25"/>
  <c r="SHQ67" i="25"/>
  <c r="SHS67" i="25"/>
  <c r="SHA67" i="25"/>
  <c r="SHC67" i="25"/>
  <c r="SGK67" i="25"/>
  <c r="SGM67" i="25"/>
  <c r="SFU67" i="25"/>
  <c r="SFW67" i="25"/>
  <c r="SFE67" i="25"/>
  <c r="SFG67" i="25"/>
  <c r="SEO67" i="25"/>
  <c r="SEQ67" i="25"/>
  <c r="SDY67" i="25"/>
  <c r="SEA67" i="25"/>
  <c r="SDI67" i="25"/>
  <c r="SDK67" i="25"/>
  <c r="SCS67" i="25"/>
  <c r="SCU67" i="25"/>
  <c r="SCC67" i="25"/>
  <c r="SCE67" i="25"/>
  <c r="SBM67" i="25"/>
  <c r="SBO67" i="25"/>
  <c r="SAW67" i="25"/>
  <c r="SAY67" i="25"/>
  <c r="SAG67" i="25"/>
  <c r="SAI67" i="25"/>
  <c r="RZQ67" i="25"/>
  <c r="RZS67" i="25"/>
  <c r="RZA67" i="25"/>
  <c r="RZC67" i="25"/>
  <c r="RYK67" i="25"/>
  <c r="RYM67" i="25"/>
  <c r="RXU67" i="25"/>
  <c r="RXW67" i="25"/>
  <c r="RXE67" i="25"/>
  <c r="RXG67" i="25"/>
  <c r="QZU67" i="25"/>
  <c r="QZW67" i="25"/>
  <c r="QZE67" i="25"/>
  <c r="QZG67" i="25"/>
  <c r="QYO67" i="25"/>
  <c r="QYQ67" i="25"/>
  <c r="QXY67" i="25"/>
  <c r="QYA67" i="25"/>
  <c r="QXI67" i="25"/>
  <c r="QXK67" i="25"/>
  <c r="QWS67" i="25"/>
  <c r="QWU67" i="25"/>
  <c r="QWC67" i="25"/>
  <c r="QWE67" i="25"/>
  <c r="QVM67" i="25"/>
  <c r="QVO67" i="25"/>
  <c r="QUW67" i="25"/>
  <c r="QUY67" i="25"/>
  <c r="QUG67" i="25"/>
  <c r="QUI67" i="25"/>
  <c r="QTQ67" i="25"/>
  <c r="QTS67" i="25"/>
  <c r="QTA67" i="25"/>
  <c r="QTC67" i="25"/>
  <c r="QSK67" i="25"/>
  <c r="QSM67" i="25"/>
  <c r="QRU67" i="25"/>
  <c r="QRW67" i="25"/>
  <c r="QRE67" i="25"/>
  <c r="QRG67" i="25"/>
  <c r="QQO67" i="25"/>
  <c r="QQQ67" i="25"/>
  <c r="QPY67" i="25"/>
  <c r="QQA67" i="25"/>
  <c r="QPI67" i="25"/>
  <c r="QPK67" i="25"/>
  <c r="QOS67" i="25"/>
  <c r="QOU67" i="25"/>
  <c r="QOC67" i="25"/>
  <c r="QOE67" i="25"/>
  <c r="QNM67" i="25"/>
  <c r="QNO67" i="25"/>
  <c r="QMW67" i="25"/>
  <c r="QMY67" i="25"/>
  <c r="QMG67" i="25"/>
  <c r="QMI67" i="25"/>
  <c r="QLQ67" i="25"/>
  <c r="QLS67" i="25"/>
  <c r="QLA67" i="25"/>
  <c r="QLC67" i="25"/>
  <c r="QKK67" i="25"/>
  <c r="QKM67" i="25"/>
  <c r="QJU67" i="25"/>
  <c r="QJW67" i="25"/>
  <c r="QJE67" i="25"/>
  <c r="QJG67" i="25"/>
  <c r="QIO67" i="25"/>
  <c r="QIQ67" i="25"/>
  <c r="QHY67" i="25"/>
  <c r="QIA67" i="25"/>
  <c r="QHI67" i="25"/>
  <c r="QHK67" i="25"/>
  <c r="QGS67" i="25"/>
  <c r="QGU67" i="25"/>
  <c r="QGC67" i="25"/>
  <c r="QGE67" i="25"/>
  <c r="QFM67" i="25"/>
  <c r="QFO67" i="25"/>
  <c r="QEW67" i="25"/>
  <c r="QEY67" i="25"/>
  <c r="QEG67" i="25"/>
  <c r="QEI67" i="25"/>
  <c r="QDQ67" i="25"/>
  <c r="QDS67" i="25"/>
  <c r="QDA67" i="25"/>
  <c r="QDC67" i="25"/>
  <c r="QCK67" i="25"/>
  <c r="QCM67" i="25"/>
  <c r="QBU67" i="25"/>
  <c r="QBW67" i="25"/>
  <c r="QBE67" i="25"/>
  <c r="QBG67" i="25"/>
  <c r="QAO67" i="25"/>
  <c r="QAQ67" i="25"/>
  <c r="PZY67" i="25"/>
  <c r="QAA67" i="25"/>
  <c r="PZI67" i="25"/>
  <c r="PZK67" i="25"/>
  <c r="PYS67" i="25"/>
  <c r="PYU67" i="25"/>
  <c r="PYC67" i="25"/>
  <c r="PYE67" i="25"/>
  <c r="PXM67" i="25"/>
  <c r="PXO67" i="25"/>
  <c r="PWW67" i="25"/>
  <c r="PWY67" i="25"/>
  <c r="PWG67" i="25"/>
  <c r="PWI67" i="25"/>
  <c r="PVQ67" i="25"/>
  <c r="PVS67" i="25"/>
  <c r="PVA67" i="25"/>
  <c r="PVC67" i="25"/>
  <c r="PUK67" i="25"/>
  <c r="PUM67" i="25"/>
  <c r="PTU67" i="25"/>
  <c r="PTW67" i="25"/>
  <c r="PTE67" i="25"/>
  <c r="PTG67" i="25"/>
  <c r="PSO67" i="25"/>
  <c r="PSQ67" i="25"/>
  <c r="PRY67" i="25"/>
  <c r="PSA67" i="25"/>
  <c r="PRI67" i="25"/>
  <c r="PRK67" i="25"/>
  <c r="PQS67" i="25"/>
  <c r="PQU67" i="25"/>
  <c r="PQC67" i="25"/>
  <c r="PQE67" i="25"/>
  <c r="PPM67" i="25"/>
  <c r="PPO67" i="25"/>
  <c r="POW67" i="25"/>
  <c r="POY67" i="25"/>
  <c r="POG67" i="25"/>
  <c r="POI67" i="25"/>
  <c r="PNQ67" i="25"/>
  <c r="PNS67" i="25"/>
  <c r="PNA67" i="25"/>
  <c r="PNC67" i="25"/>
  <c r="PMK67" i="25"/>
  <c r="PMM67" i="25"/>
  <c r="PLU67" i="25"/>
  <c r="PLW67" i="25"/>
  <c r="PLE67" i="25"/>
  <c r="PLG67" i="25"/>
  <c r="PKO67" i="25"/>
  <c r="PKQ67" i="25"/>
  <c r="PJY67" i="25"/>
  <c r="PKA67" i="25"/>
  <c r="PJI67" i="25"/>
  <c r="PJK67" i="25"/>
  <c r="PIS67" i="25"/>
  <c r="PIU67" i="25"/>
  <c r="PIC67" i="25"/>
  <c r="PIE67" i="25"/>
  <c r="PHM67" i="25"/>
  <c r="PHO67" i="25"/>
  <c r="PGW67" i="25"/>
  <c r="PGY67" i="25"/>
  <c r="PGG67" i="25"/>
  <c r="PGI67" i="25"/>
  <c r="PFQ67" i="25"/>
  <c r="PFS67" i="25"/>
  <c r="PFA67" i="25"/>
  <c r="PFC67" i="25"/>
  <c r="PEK67" i="25"/>
  <c r="PEM67" i="25"/>
  <c r="PDU67" i="25"/>
  <c r="PDW67" i="25"/>
  <c r="PDE67" i="25"/>
  <c r="PDG67" i="25"/>
  <c r="PCO67" i="25"/>
  <c r="PCQ67" i="25"/>
  <c r="PBY67" i="25"/>
  <c r="PCA67" i="25"/>
  <c r="PBI67" i="25"/>
  <c r="PBK67" i="25"/>
  <c r="PAS67" i="25"/>
  <c r="PAU67" i="25"/>
  <c r="PAC67" i="25"/>
  <c r="PAE67" i="25"/>
  <c r="OZM67" i="25"/>
  <c r="OZO67" i="25"/>
  <c r="OYW67" i="25"/>
  <c r="OYY67" i="25"/>
  <c r="OYG67" i="25"/>
  <c r="OYI67" i="25"/>
  <c r="OXQ67" i="25"/>
  <c r="OXS67" i="25"/>
  <c r="OXA67" i="25"/>
  <c r="OXC67" i="25"/>
  <c r="OWK67" i="25"/>
  <c r="OWM67" i="25"/>
  <c r="OVU67" i="25"/>
  <c r="OVW67" i="25"/>
  <c r="OVE67" i="25"/>
  <c r="OVG67" i="25"/>
  <c r="OUO67" i="25"/>
  <c r="OUQ67" i="25"/>
  <c r="OTY67" i="25"/>
  <c r="OUA67" i="25"/>
  <c r="OTI67" i="25"/>
  <c r="OTK67" i="25"/>
  <c r="OSS67" i="25"/>
  <c r="OSU67" i="25"/>
  <c r="OSC67" i="25"/>
  <c r="OSE67" i="25"/>
  <c r="ORM67" i="25"/>
  <c r="ORO67" i="25"/>
  <c r="OQW67" i="25"/>
  <c r="OQY67" i="25"/>
  <c r="OQG67" i="25"/>
  <c r="OQI67" i="25"/>
  <c r="OPQ67" i="25"/>
  <c r="OPS67" i="25"/>
  <c r="OPA67" i="25"/>
  <c r="OPC67" i="25"/>
  <c r="OOK67" i="25"/>
  <c r="OOM67" i="25"/>
  <c r="ONU67" i="25"/>
  <c r="ONW67" i="25"/>
  <c r="ONE67" i="25"/>
  <c r="ONG67" i="25"/>
  <c r="OMO67" i="25"/>
  <c r="OMQ67" i="25"/>
  <c r="OLY67" i="25"/>
  <c r="OMA67" i="25"/>
  <c r="OLI67" i="25"/>
  <c r="OLK67" i="25"/>
  <c r="OKS67" i="25"/>
  <c r="OKU67" i="25"/>
  <c r="OKC67" i="25"/>
  <c r="OKE67" i="25"/>
  <c r="OJM67" i="25"/>
  <c r="OJO67" i="25"/>
  <c r="OIW67" i="25"/>
  <c r="OIY67" i="25"/>
  <c r="OIG67" i="25"/>
  <c r="OII67" i="25"/>
  <c r="OHQ67" i="25"/>
  <c r="OHS67" i="25"/>
  <c r="OHA67" i="25"/>
  <c r="OHC67" i="25"/>
  <c r="OGK67" i="25"/>
  <c r="OGM67" i="25"/>
  <c r="OFU67" i="25"/>
  <c r="OFW67" i="25"/>
  <c r="OFE67" i="25"/>
  <c r="OFG67" i="25"/>
  <c r="OEO67" i="25"/>
  <c r="OEQ67" i="25"/>
  <c r="ODY67" i="25"/>
  <c r="OEA67" i="25"/>
  <c r="ODI67" i="25"/>
  <c r="ODK67" i="25"/>
  <c r="OCS67" i="25"/>
  <c r="OCU67" i="25"/>
  <c r="OCC67" i="25"/>
  <c r="OCE67" i="25"/>
  <c r="OBM67" i="25"/>
  <c r="OBO67" i="25"/>
  <c r="OAW67" i="25"/>
  <c r="OAY67" i="25"/>
  <c r="OAG67" i="25"/>
  <c r="OAI67" i="25"/>
  <c r="NZQ67" i="25"/>
  <c r="NZS67" i="25"/>
  <c r="NZA67" i="25"/>
  <c r="NZC67" i="25"/>
  <c r="NYK67" i="25"/>
  <c r="NYM67" i="25"/>
  <c r="NXU67" i="25"/>
  <c r="NXW67" i="25"/>
  <c r="NXE67" i="25"/>
  <c r="NXG67" i="25"/>
  <c r="NWO67" i="25"/>
  <c r="NWQ67" i="25"/>
  <c r="NVY67" i="25"/>
  <c r="NWA67" i="25"/>
  <c r="NVI67" i="25"/>
  <c r="NVK67" i="25"/>
  <c r="NUS67" i="25"/>
  <c r="NUU67" i="25"/>
  <c r="NUC67" i="25"/>
  <c r="NUE67" i="25"/>
  <c r="NTM67" i="25"/>
  <c r="NTO67" i="25"/>
  <c r="NSW67" i="25"/>
  <c r="NSY67" i="25"/>
  <c r="NSG67" i="25"/>
  <c r="NSI67" i="25"/>
  <c r="NRQ67" i="25"/>
  <c r="NRS67" i="25"/>
  <c r="NRA67" i="25"/>
  <c r="NRC67" i="25"/>
  <c r="NQK67" i="25"/>
  <c r="NQM67" i="25"/>
  <c r="NPU67" i="25"/>
  <c r="NPW67" i="25"/>
  <c r="NPE67" i="25"/>
  <c r="NPG67" i="25"/>
  <c r="NOO67" i="25"/>
  <c r="NOQ67" i="25"/>
  <c r="NNY67" i="25"/>
  <c r="NOA67" i="25"/>
  <c r="NNI67" i="25"/>
  <c r="NNK67" i="25"/>
  <c r="NMS67" i="25"/>
  <c r="NMU67" i="25"/>
  <c r="NMC67" i="25"/>
  <c r="NME67" i="25"/>
  <c r="NLM67" i="25"/>
  <c r="NLO67" i="25"/>
  <c r="NKW67" i="25"/>
  <c r="NKY67" i="25"/>
  <c r="NKG67" i="25"/>
  <c r="NKI67" i="25"/>
  <c r="NJQ67" i="25"/>
  <c r="NJS67" i="25"/>
  <c r="NJA67" i="25"/>
  <c r="NJC67" i="25"/>
  <c r="NIK67" i="25"/>
  <c r="NIM67" i="25"/>
  <c r="NHU67" i="25"/>
  <c r="NHW67" i="25"/>
  <c r="NHE67" i="25"/>
  <c r="NHG67" i="25"/>
  <c r="NGO67" i="25"/>
  <c r="NGQ67" i="25"/>
  <c r="NFY67" i="25"/>
  <c r="NGA67" i="25"/>
  <c r="NFI67" i="25"/>
  <c r="NFK67" i="25"/>
  <c r="NES67" i="25"/>
  <c r="NEU67" i="25"/>
  <c r="NEC67" i="25"/>
  <c r="NEE67" i="25"/>
  <c r="NDM67" i="25"/>
  <c r="NDO67" i="25"/>
  <c r="NCW67" i="25"/>
  <c r="NCY67" i="25"/>
  <c r="NCG67" i="25"/>
  <c r="NCI67" i="25"/>
  <c r="NBQ67" i="25"/>
  <c r="NBS67" i="25"/>
  <c r="NBA67" i="25"/>
  <c r="NBC67" i="25"/>
  <c r="NAK67" i="25"/>
  <c r="NAM67" i="25"/>
  <c r="MZU67" i="25"/>
  <c r="MZW67" i="25"/>
  <c r="MZE67" i="25"/>
  <c r="MZG67" i="25"/>
  <c r="MYO67" i="25"/>
  <c r="MYQ67" i="25"/>
  <c r="MXY67" i="25"/>
  <c r="MYA67" i="25"/>
  <c r="MXI67" i="25"/>
  <c r="MXK67" i="25"/>
  <c r="MWS67" i="25"/>
  <c r="MWU67" i="25"/>
  <c r="MWC67" i="25"/>
  <c r="MWE67" i="25"/>
  <c r="MVM67" i="25"/>
  <c r="MVO67" i="25"/>
  <c r="MUW67" i="25"/>
  <c r="MUY67" i="25"/>
  <c r="MUG67" i="25"/>
  <c r="MUI67" i="25"/>
  <c r="MTQ67" i="25"/>
  <c r="MTS67" i="25"/>
  <c r="MTA67" i="25"/>
  <c r="MTC67" i="25"/>
  <c r="MSK67" i="25"/>
  <c r="MSM67" i="25"/>
  <c r="MRU67" i="25"/>
  <c r="MRW67" i="25"/>
  <c r="MRE67" i="25"/>
  <c r="MRG67" i="25"/>
  <c r="MQO67" i="25"/>
  <c r="MQQ67" i="25"/>
  <c r="MPY67" i="25"/>
  <c r="MQA67" i="25"/>
  <c r="MPI67" i="25"/>
  <c r="MPK67" i="25"/>
  <c r="MOS67" i="25"/>
  <c r="MOU67" i="25"/>
  <c r="MOC67" i="25"/>
  <c r="MOE67" i="25"/>
  <c r="MNM67" i="25"/>
  <c r="MNO67" i="25"/>
  <c r="MMW67" i="25"/>
  <c r="MMY67" i="25"/>
  <c r="MMG67" i="25"/>
  <c r="MMI67" i="25"/>
  <c r="MLQ67" i="25"/>
  <c r="MLS67" i="25"/>
  <c r="MLA67" i="25"/>
  <c r="MLC67" i="25"/>
  <c r="MKK67" i="25"/>
  <c r="MKM67" i="25"/>
  <c r="MJU67" i="25"/>
  <c r="MJW67" i="25"/>
  <c r="MJE67" i="25"/>
  <c r="MJG67" i="25"/>
  <c r="MIO67" i="25"/>
  <c r="MIQ67" i="25"/>
  <c r="MHY67" i="25"/>
  <c r="MIA67" i="25"/>
  <c r="MHI67" i="25"/>
  <c r="MHK67" i="25"/>
  <c r="MGS67" i="25"/>
  <c r="MGU67" i="25"/>
  <c r="MGC67" i="25"/>
  <c r="MGE67" i="25"/>
  <c r="MFM67" i="25"/>
  <c r="MFO67" i="25"/>
  <c r="MEW67" i="25"/>
  <c r="MEY67" i="25"/>
  <c r="MEG67" i="25"/>
  <c r="MEI67" i="25"/>
  <c r="MDQ67" i="25"/>
  <c r="MDS67" i="25"/>
  <c r="MDA67" i="25"/>
  <c r="MDC67" i="25"/>
  <c r="MCK67" i="25"/>
  <c r="MCM67" i="25"/>
  <c r="MBU67" i="25"/>
  <c r="MBW67" i="25"/>
  <c r="MBE67" i="25"/>
  <c r="MBG67" i="25"/>
  <c r="MAO67" i="25"/>
  <c r="MAQ67" i="25"/>
  <c r="LZY67" i="25"/>
  <c r="MAA67" i="25"/>
  <c r="LZI67" i="25"/>
  <c r="LZK67" i="25"/>
  <c r="LYS67" i="25"/>
  <c r="LYU67" i="25"/>
  <c r="LYC67" i="25"/>
  <c r="LYE67" i="25"/>
  <c r="LXM67" i="25"/>
  <c r="LXO67" i="25"/>
  <c r="LWW67" i="25"/>
  <c r="LWY67" i="25"/>
  <c r="LWG67" i="25"/>
  <c r="LWI67" i="25"/>
  <c r="LVQ67" i="25"/>
  <c r="LVS67" i="25"/>
  <c r="LVA67" i="25"/>
  <c r="LVC67" i="25"/>
  <c r="LUK67" i="25"/>
  <c r="LUM67" i="25"/>
  <c r="LTU67" i="25"/>
  <c r="LTW67" i="25"/>
  <c r="LTE67" i="25"/>
  <c r="LTG67" i="25"/>
  <c r="LSO67" i="25"/>
  <c r="LSQ67" i="25"/>
  <c r="LRY67" i="25"/>
  <c r="LSA67" i="25"/>
  <c r="LRI67" i="25"/>
  <c r="LRK67" i="25"/>
  <c r="LQS67" i="25"/>
  <c r="LQU67" i="25"/>
  <c r="LQC67" i="25"/>
  <c r="LQE67" i="25"/>
  <c r="LPM67" i="25"/>
  <c r="LPO67" i="25"/>
  <c r="LOW67" i="25"/>
  <c r="LOY67" i="25"/>
  <c r="LOG67" i="25"/>
  <c r="LOI67" i="25"/>
  <c r="LNQ67" i="25"/>
  <c r="LNS67" i="25"/>
  <c r="LNA67" i="25"/>
  <c r="LNC67" i="25"/>
  <c r="LMK67" i="25"/>
  <c r="LMM67" i="25"/>
  <c r="LLU67" i="25"/>
  <c r="LLW67" i="25"/>
  <c r="LLE67" i="25"/>
  <c r="LLG67" i="25"/>
  <c r="LKO67" i="25"/>
  <c r="LKQ67" i="25"/>
  <c r="LJY67" i="25"/>
  <c r="LKA67" i="25"/>
  <c r="LJI67" i="25"/>
  <c r="LJK67" i="25"/>
  <c r="LIS67" i="25"/>
  <c r="LIU67" i="25"/>
  <c r="LIC67" i="25"/>
  <c r="LIE67" i="25"/>
  <c r="LHM67" i="25"/>
  <c r="LHO67" i="25"/>
  <c r="LGW67" i="25"/>
  <c r="LGY67" i="25"/>
  <c r="LGG67" i="25"/>
  <c r="LGI67" i="25"/>
  <c r="LFQ67" i="25"/>
  <c r="LFS67" i="25"/>
  <c r="LFA67" i="25"/>
  <c r="LFC67" i="25"/>
  <c r="LEK67" i="25"/>
  <c r="LEM67" i="25"/>
  <c r="LDU67" i="25"/>
  <c r="LDW67" i="25"/>
  <c r="LDE67" i="25"/>
  <c r="LDG67" i="25"/>
  <c r="LCO67" i="25"/>
  <c r="LCQ67" i="25"/>
  <c r="LBY67" i="25"/>
  <c r="LCA67" i="25"/>
  <c r="LBI67" i="25"/>
  <c r="LBK67" i="25"/>
  <c r="LAS67" i="25"/>
  <c r="LAU67" i="25"/>
  <c r="LAC67" i="25"/>
  <c r="LAE67" i="25"/>
  <c r="KZM67" i="25"/>
  <c r="KZO67" i="25"/>
  <c r="KYW67" i="25"/>
  <c r="KYY67" i="25"/>
  <c r="KYG67" i="25"/>
  <c r="KYI67" i="25"/>
  <c r="KXQ67" i="25"/>
  <c r="KXS67" i="25"/>
  <c r="KXA67" i="25"/>
  <c r="KXC67" i="25"/>
  <c r="KWK67" i="25"/>
  <c r="KWM67" i="25"/>
  <c r="KVU67" i="25"/>
  <c r="KVW67" i="25"/>
  <c r="KVE67" i="25"/>
  <c r="KVG67" i="25"/>
  <c r="KUO67" i="25"/>
  <c r="KUQ67" i="25"/>
  <c r="KTY67" i="25"/>
  <c r="KUA67" i="25"/>
  <c r="KTI67" i="25"/>
  <c r="KTK67" i="25"/>
  <c r="KSS67" i="25"/>
  <c r="KSU67" i="25"/>
  <c r="KSC67" i="25"/>
  <c r="KSE67" i="25"/>
  <c r="KRM67" i="25"/>
  <c r="KRO67" i="25"/>
  <c r="KQW67" i="25"/>
  <c r="KQY67" i="25"/>
  <c r="KQG67" i="25"/>
  <c r="KQI67" i="25"/>
  <c r="KPQ67" i="25"/>
  <c r="KPS67" i="25"/>
  <c r="KPA67" i="25"/>
  <c r="KPC67" i="25"/>
  <c r="KOK67" i="25"/>
  <c r="KOM67" i="25"/>
  <c r="KNU67" i="25"/>
  <c r="KNW67" i="25"/>
  <c r="KNE67" i="25"/>
  <c r="KNG67" i="25"/>
  <c r="KMO67" i="25"/>
  <c r="KMQ67" i="25"/>
  <c r="KLY67" i="25"/>
  <c r="KMA67" i="25"/>
  <c r="KLI67" i="25"/>
  <c r="KLK67" i="25"/>
  <c r="KKS67" i="25"/>
  <c r="KKU67" i="25"/>
  <c r="KKC67" i="25"/>
  <c r="KKE67" i="25"/>
  <c r="KJM67" i="25"/>
  <c r="KJO67" i="25"/>
  <c r="KIW67" i="25"/>
  <c r="KIY67" i="25"/>
  <c r="KIG67" i="25"/>
  <c r="KII67" i="25"/>
  <c r="KHQ67" i="25"/>
  <c r="KHS67" i="25"/>
  <c r="KHA67" i="25"/>
  <c r="KHC67" i="25"/>
  <c r="KGK67" i="25"/>
  <c r="KGM67" i="25"/>
  <c r="KFU67" i="25"/>
  <c r="KFW67" i="25"/>
  <c r="KFE67" i="25"/>
  <c r="KFG67" i="25"/>
  <c r="KEO67" i="25"/>
  <c r="KEQ67" i="25"/>
  <c r="KDY67" i="25"/>
  <c r="KEA67" i="25"/>
  <c r="KDI67" i="25"/>
  <c r="KDK67" i="25"/>
  <c r="KCS67" i="25"/>
  <c r="KCU67" i="25"/>
  <c r="KCC67" i="25"/>
  <c r="KCE67" i="25"/>
  <c r="KBM67" i="25"/>
  <c r="KBO67" i="25"/>
  <c r="KAW67" i="25"/>
  <c r="KAY67" i="25"/>
  <c r="KAG67" i="25"/>
  <c r="KAI67" i="25"/>
  <c r="JZQ67" i="25"/>
  <c r="JZS67" i="25"/>
  <c r="JZA67" i="25"/>
  <c r="JZC67" i="25"/>
  <c r="JYK67" i="25"/>
  <c r="JYM67" i="25"/>
  <c r="JXU67" i="25"/>
  <c r="JXW67" i="25"/>
  <c r="JXE67" i="25"/>
  <c r="JXG67" i="25"/>
  <c r="JWO67" i="25"/>
  <c r="JWQ67" i="25"/>
  <c r="JVY67" i="25"/>
  <c r="JWA67" i="25"/>
  <c r="JVI67" i="25"/>
  <c r="JVK67" i="25"/>
  <c r="JUS67" i="25"/>
  <c r="JUU67" i="25"/>
  <c r="JUC67" i="25"/>
  <c r="JUE67" i="25"/>
  <c r="JTM67" i="25"/>
  <c r="JTO67" i="25"/>
  <c r="JSW67" i="25"/>
  <c r="JSY67" i="25"/>
  <c r="JSG67" i="25"/>
  <c r="JSI67" i="25"/>
  <c r="JRQ67" i="25"/>
  <c r="JRS67" i="25"/>
  <c r="JRA67" i="25"/>
  <c r="JRC67" i="25"/>
  <c r="JQK67" i="25"/>
  <c r="JQM67" i="25"/>
  <c r="JPU67" i="25"/>
  <c r="JPW67" i="25"/>
  <c r="JPE67" i="25"/>
  <c r="JPG67" i="25"/>
  <c r="JOO67" i="25"/>
  <c r="JOQ67" i="25"/>
  <c r="JNY67" i="25"/>
  <c r="JOA67" i="25"/>
  <c r="JNI67" i="25"/>
  <c r="JNK67" i="25"/>
  <c r="JMS67" i="25"/>
  <c r="JMU67" i="25"/>
  <c r="JMC67" i="25"/>
  <c r="JME67" i="25"/>
  <c r="JLM67" i="25"/>
  <c r="JLO67" i="25"/>
  <c r="JKW67" i="25"/>
  <c r="JKY67" i="25"/>
  <c r="JKG67" i="25"/>
  <c r="JKI67" i="25"/>
  <c r="JJQ67" i="25"/>
  <c r="JJS67" i="25"/>
  <c r="JJA67" i="25"/>
  <c r="JJC67" i="25"/>
  <c r="JIK67" i="25"/>
  <c r="JIM67" i="25"/>
  <c r="JHU67" i="25"/>
  <c r="JHW67" i="25"/>
  <c r="JHE67" i="25"/>
  <c r="JHG67" i="25"/>
  <c r="JGO67" i="25"/>
  <c r="JGQ67" i="25"/>
  <c r="JFY67" i="25"/>
  <c r="JGA67" i="25"/>
  <c r="JFI67" i="25"/>
  <c r="JFK67" i="25"/>
  <c r="JES67" i="25"/>
  <c r="JEU67" i="25"/>
  <c r="JEC67" i="25"/>
  <c r="JEE67" i="25"/>
  <c r="JDM67" i="25"/>
  <c r="JDO67" i="25"/>
  <c r="JCW67" i="25"/>
  <c r="JCY67" i="25"/>
  <c r="JCG67" i="25"/>
  <c r="JCI67" i="25"/>
  <c r="JBQ67" i="25"/>
  <c r="JBS67" i="25"/>
  <c r="JBA67" i="25"/>
  <c r="JBC67" i="25"/>
  <c r="JAK67" i="25"/>
  <c r="JAM67" i="25"/>
  <c r="IZU67" i="25"/>
  <c r="IZW67" i="25"/>
  <c r="IZE67" i="25"/>
  <c r="IZG67" i="25"/>
  <c r="IYO67" i="25"/>
  <c r="IYQ67" i="25"/>
  <c r="IXY67" i="25"/>
  <c r="IYA67" i="25"/>
  <c r="IXI67" i="25"/>
  <c r="IXK67" i="25"/>
  <c r="IWS67" i="25"/>
  <c r="IWU67" i="25"/>
  <c r="IWC67" i="25"/>
  <c r="IWE67" i="25"/>
  <c r="IVM67" i="25"/>
  <c r="IVO67" i="25"/>
  <c r="IUW67" i="25"/>
  <c r="IUY67" i="25"/>
  <c r="IUG67" i="25"/>
  <c r="IUI67" i="25"/>
  <c r="ITQ67" i="25"/>
  <c r="ITS67" i="25"/>
  <c r="ITA67" i="25"/>
  <c r="ITC67" i="25"/>
  <c r="ISK67" i="25"/>
  <c r="ISM67" i="25"/>
  <c r="IRU67" i="25"/>
  <c r="IRW67" i="25"/>
  <c r="IRE67" i="25"/>
  <c r="IRG67" i="25"/>
  <c r="IQO67" i="25"/>
  <c r="IQQ67" i="25"/>
  <c r="IPY67" i="25"/>
  <c r="IQA67" i="25"/>
  <c r="IPI67" i="25"/>
  <c r="IPK67" i="25"/>
  <c r="IOS67" i="25"/>
  <c r="IOU67" i="25"/>
  <c r="IOC67" i="25"/>
  <c r="IOE67" i="25"/>
  <c r="INM67" i="25"/>
  <c r="INO67" i="25"/>
  <c r="IMW67" i="25"/>
  <c r="IMY67" i="25"/>
  <c r="IMG67" i="25"/>
  <c r="IMI67" i="25"/>
  <c r="ILQ67" i="25"/>
  <c r="ILS67" i="25"/>
  <c r="ILA67" i="25"/>
  <c r="ILC67" i="25"/>
  <c r="IKK67" i="25"/>
  <c r="IKM67" i="25"/>
  <c r="IJU67" i="25"/>
  <c r="IJW67" i="25"/>
  <c r="IJE67" i="25"/>
  <c r="IJG67" i="25"/>
  <c r="IIO67" i="25"/>
  <c r="IIQ67" i="25"/>
  <c r="IHY67" i="25"/>
  <c r="IIA67" i="25"/>
  <c r="IHI67" i="25"/>
  <c r="IHK67" i="25"/>
  <c r="IGS67" i="25"/>
  <c r="IGU67" i="25"/>
  <c r="IGC67" i="25"/>
  <c r="IGE67" i="25"/>
  <c r="IFM67" i="25"/>
  <c r="IFO67" i="25"/>
  <c r="IEW67" i="25"/>
  <c r="IEY67" i="25"/>
  <c r="IEG67" i="25"/>
  <c r="IEI67" i="25"/>
  <c r="IDQ67" i="25"/>
  <c r="IDS67" i="25"/>
  <c r="IDA67" i="25"/>
  <c r="IDC67" i="25"/>
  <c r="ICK67" i="25"/>
  <c r="ICM67" i="25"/>
  <c r="IBU67" i="25"/>
  <c r="IBW67" i="25"/>
  <c r="IBE67" i="25"/>
  <c r="IBG67" i="25"/>
  <c r="IAO67" i="25"/>
  <c r="IAQ67" i="25"/>
  <c r="HZY67" i="25"/>
  <c r="IAA67" i="25"/>
  <c r="HZI67" i="25"/>
  <c r="HZK67" i="25"/>
  <c r="HYS67" i="25"/>
  <c r="HYU67" i="25"/>
  <c r="HYC67" i="25"/>
  <c r="HYE67" i="25"/>
  <c r="HXM67" i="25"/>
  <c r="HXO67" i="25"/>
  <c r="HWW67" i="25"/>
  <c r="HWY67" i="25"/>
  <c r="HWG67" i="25"/>
  <c r="HWI67" i="25"/>
  <c r="HVQ67" i="25"/>
  <c r="HVS67" i="25"/>
  <c r="HVA67" i="25"/>
  <c r="HVC67" i="25"/>
  <c r="HUK67" i="25"/>
  <c r="HUM67" i="25"/>
  <c r="HTU67" i="25"/>
  <c r="HTW67" i="25"/>
  <c r="HTE67" i="25"/>
  <c r="HTG67" i="25"/>
  <c r="HSO67" i="25"/>
  <c r="HSQ67" i="25"/>
  <c r="HRY67" i="25"/>
  <c r="HSA67" i="25"/>
  <c r="HRI67" i="25"/>
  <c r="HRK67" i="25"/>
  <c r="HQS67" i="25"/>
  <c r="HQU67" i="25"/>
  <c r="HQC67" i="25"/>
  <c r="HQE67" i="25"/>
  <c r="HPM67" i="25"/>
  <c r="HPO67" i="25"/>
  <c r="HOW67" i="25"/>
  <c r="HOY67" i="25"/>
  <c r="HOG67" i="25"/>
  <c r="HOI67" i="25"/>
  <c r="HNQ67" i="25"/>
  <c r="HNS67" i="25"/>
  <c r="HNA67" i="25"/>
  <c r="HNC67" i="25"/>
  <c r="HMK67" i="25"/>
  <c r="HMM67" i="25"/>
  <c r="HLU67" i="25"/>
  <c r="HLW67" i="25"/>
  <c r="HLE67" i="25"/>
  <c r="HLG67" i="25"/>
  <c r="HKO67" i="25"/>
  <c r="HKQ67" i="25"/>
  <c r="HJY67" i="25"/>
  <c r="HKA67" i="25"/>
  <c r="HJI67" i="25"/>
  <c r="HJK67" i="25"/>
  <c r="HIS67" i="25"/>
  <c r="HIU67" i="25"/>
  <c r="HIC67" i="25"/>
  <c r="HIE67" i="25"/>
  <c r="HHM67" i="25"/>
  <c r="HHO67" i="25"/>
  <c r="HGW67" i="25"/>
  <c r="HGY67" i="25"/>
  <c r="HGG67" i="25"/>
  <c r="HGI67" i="25"/>
  <c r="HFQ67" i="25"/>
  <c r="HFS67" i="25"/>
  <c r="HFA67" i="25"/>
  <c r="HFC67" i="25"/>
  <c r="HEK67" i="25"/>
  <c r="HEM67" i="25"/>
  <c r="HDU67" i="25"/>
  <c r="HDW67" i="25"/>
  <c r="HDE67" i="25"/>
  <c r="HDG67" i="25"/>
  <c r="HCO67" i="25"/>
  <c r="HCQ67" i="25"/>
  <c r="HBY67" i="25"/>
  <c r="HCA67" i="25"/>
  <c r="HBI67" i="25"/>
  <c r="HBK67" i="25"/>
  <c r="HAS67" i="25"/>
  <c r="HAU67" i="25"/>
  <c r="HAC67" i="25"/>
  <c r="HAE67" i="25"/>
  <c r="GZM67" i="25"/>
  <c r="GZO67" i="25"/>
  <c r="GYW67" i="25"/>
  <c r="GYY67" i="25"/>
  <c r="GYG67" i="25"/>
  <c r="GYI67" i="25"/>
  <c r="GXQ67" i="25"/>
  <c r="GXS67" i="25"/>
  <c r="GXA67" i="25"/>
  <c r="GXC67" i="25"/>
  <c r="GWK67" i="25"/>
  <c r="GWM67" i="25"/>
  <c r="GVU67" i="25"/>
  <c r="GVW67" i="25"/>
  <c r="GVE67" i="25"/>
  <c r="GVG67" i="25"/>
  <c r="GUO67" i="25"/>
  <c r="GUQ67" i="25"/>
  <c r="GTY67" i="25"/>
  <c r="GUA67" i="25"/>
  <c r="GTI67" i="25"/>
  <c r="GTK67" i="25"/>
  <c r="GSS67" i="25"/>
  <c r="GSU67" i="25"/>
  <c r="GSC67" i="25"/>
  <c r="GSE67" i="25"/>
  <c r="GRM67" i="25"/>
  <c r="GRO67" i="25"/>
  <c r="GQW67" i="25"/>
  <c r="GQY67" i="25"/>
  <c r="GQG67" i="25"/>
  <c r="GQI67" i="25"/>
  <c r="GPQ67" i="25"/>
  <c r="GPS67" i="25"/>
  <c r="GPA67" i="25"/>
  <c r="GPC67" i="25"/>
  <c r="GOK67" i="25"/>
  <c r="GOM67" i="25"/>
  <c r="GNU67" i="25"/>
  <c r="GNW67" i="25"/>
  <c r="GNE67" i="25"/>
  <c r="GNG67" i="25"/>
  <c r="GMO67" i="25"/>
  <c r="GMQ67" i="25"/>
  <c r="GLY67" i="25"/>
  <c r="GMA67" i="25"/>
  <c r="GLI67" i="25"/>
  <c r="GLK67" i="25"/>
  <c r="GKS67" i="25"/>
  <c r="GKU67" i="25"/>
  <c r="GKC67" i="25"/>
  <c r="GKE67" i="25"/>
  <c r="GJM67" i="25"/>
  <c r="GJO67" i="25"/>
  <c r="GIW67" i="25"/>
  <c r="GIY67" i="25"/>
  <c r="GIG67" i="25"/>
  <c r="GII67" i="25"/>
  <c r="GHQ67" i="25"/>
  <c r="GHS67" i="25"/>
  <c r="GHA67" i="25"/>
  <c r="GHC67" i="25"/>
  <c r="GGK67" i="25"/>
  <c r="GGM67" i="25"/>
  <c r="GFU67" i="25"/>
  <c r="GFW67" i="25"/>
  <c r="GFE67" i="25"/>
  <c r="GFG67" i="25"/>
  <c r="GEO67" i="25"/>
  <c r="GEQ67" i="25"/>
  <c r="GDY67" i="25"/>
  <c r="GEA67" i="25"/>
  <c r="GDI67" i="25"/>
  <c r="GDK67" i="25"/>
  <c r="GCS67" i="25"/>
  <c r="GCU67" i="25"/>
  <c r="GCC67" i="25"/>
  <c r="GCE67" i="25"/>
  <c r="GBM67" i="25"/>
  <c r="GBO67" i="25"/>
  <c r="GAW67" i="25"/>
  <c r="GAY67" i="25"/>
  <c r="GAG67" i="25"/>
  <c r="GAI67" i="25"/>
  <c r="FZQ67" i="25"/>
  <c r="FZS67" i="25"/>
  <c r="FZA67" i="25"/>
  <c r="FZC67" i="25"/>
  <c r="FYK67" i="25"/>
  <c r="FYM67" i="25"/>
  <c r="FXU67" i="25"/>
  <c r="FXW67" i="25"/>
  <c r="FXE67" i="25"/>
  <c r="FXG67" i="25"/>
  <c r="FWO67" i="25"/>
  <c r="FWQ67" i="25"/>
  <c r="FVY67" i="25"/>
  <c r="FWA67" i="25"/>
  <c r="FVI67" i="25"/>
  <c r="FVK67" i="25"/>
  <c r="FUS67" i="25"/>
  <c r="FUU67" i="25"/>
  <c r="FUC67" i="25"/>
  <c r="FUE67" i="25"/>
  <c r="FTM67" i="25"/>
  <c r="FTO67" i="25"/>
  <c r="FSW67" i="25"/>
  <c r="FSY67" i="25"/>
  <c r="FSG67" i="25"/>
  <c r="FSI67" i="25"/>
  <c r="FRQ67" i="25"/>
  <c r="FRS67" i="25"/>
  <c r="FRA67" i="25"/>
  <c r="FRC67" i="25"/>
  <c r="FQK67" i="25"/>
  <c r="FQM67" i="25"/>
  <c r="FPU67" i="25"/>
  <c r="FPW67" i="25"/>
  <c r="FPE67" i="25"/>
  <c r="FPG67" i="25"/>
  <c r="FOO67" i="25"/>
  <c r="FOQ67" i="25"/>
  <c r="FNY67" i="25"/>
  <c r="FOA67" i="25"/>
  <c r="FNI67" i="25"/>
  <c r="FNK67" i="25"/>
  <c r="FMS67" i="25"/>
  <c r="FMU67" i="25"/>
  <c r="FMC67" i="25"/>
  <c r="FME67" i="25"/>
  <c r="FLM67" i="25"/>
  <c r="FLO67" i="25"/>
  <c r="FKW67" i="25"/>
  <c r="FKY67" i="25"/>
  <c r="FKG67" i="25"/>
  <c r="FKI67" i="25"/>
  <c r="FJQ67" i="25"/>
  <c r="FJS67" i="25"/>
  <c r="FJA67" i="25"/>
  <c r="FJC67" i="25"/>
  <c r="FIK67" i="25"/>
  <c r="FIM67" i="25"/>
  <c r="FHU67" i="25"/>
  <c r="FHW67" i="25"/>
  <c r="FHE67" i="25"/>
  <c r="FHG67" i="25"/>
  <c r="FGO67" i="25"/>
  <c r="FGQ67" i="25"/>
  <c r="FFY67" i="25"/>
  <c r="FGA67" i="25"/>
  <c r="FFI67" i="25"/>
  <c r="FFK67" i="25"/>
  <c r="FES67" i="25"/>
  <c r="FEU67" i="25"/>
  <c r="FEC67" i="25"/>
  <c r="FEE67" i="25"/>
  <c r="FDM67" i="25"/>
  <c r="FDO67" i="25"/>
  <c r="FCW67" i="25"/>
  <c r="FCY67" i="25"/>
  <c r="FCG67" i="25"/>
  <c r="FCI67" i="25"/>
  <c r="FBQ67" i="25"/>
  <c r="FBS67" i="25"/>
  <c r="FBA67" i="25"/>
  <c r="FBC67" i="25"/>
  <c r="FAK67" i="25"/>
  <c r="FAM67" i="25"/>
  <c r="EZU67" i="25"/>
  <c r="EZW67" i="25"/>
  <c r="EZE67" i="25"/>
  <c r="EZG67" i="25"/>
  <c r="EYO67" i="25"/>
  <c r="EYQ67" i="25"/>
  <c r="EXY67" i="25"/>
  <c r="EYA67" i="25"/>
  <c r="EXI67" i="25"/>
  <c r="EXK67" i="25"/>
  <c r="EWS67" i="25"/>
  <c r="EWU67" i="25"/>
  <c r="EWC67" i="25"/>
  <c r="EWE67" i="25"/>
  <c r="EVM67" i="25"/>
  <c r="EVO67" i="25"/>
  <c r="EUW67" i="25"/>
  <c r="EUY67" i="25"/>
  <c r="EUG67" i="25"/>
  <c r="EUI67" i="25"/>
  <c r="ETQ67" i="25"/>
  <c r="ETS67" i="25"/>
  <c r="ETA67" i="25"/>
  <c r="ETC67" i="25"/>
  <c r="ESK67" i="25"/>
  <c r="ESM67" i="25"/>
  <c r="ERU67" i="25"/>
  <c r="ERW67" i="25"/>
  <c r="ERE67" i="25"/>
  <c r="ERG67" i="25"/>
  <c r="EQO67" i="25"/>
  <c r="EQQ67" i="25"/>
  <c r="EPY67" i="25"/>
  <c r="EQA67" i="25"/>
  <c r="EPI67" i="25"/>
  <c r="EPK67" i="25"/>
  <c r="EOS67" i="25"/>
  <c r="EOU67" i="25"/>
  <c r="EOC67" i="25"/>
  <c r="EOE67" i="25"/>
  <c r="ENM67" i="25"/>
  <c r="ENO67" i="25"/>
  <c r="EMW67" i="25"/>
  <c r="EMY67" i="25"/>
  <c r="EMG67" i="25"/>
  <c r="EMI67" i="25"/>
  <c r="ELQ67" i="25"/>
  <c r="ELS67" i="25"/>
  <c r="ELA67" i="25"/>
  <c r="ELC67" i="25"/>
  <c r="EKK67" i="25"/>
  <c r="EKM67" i="25"/>
  <c r="EJU67" i="25"/>
  <c r="EJW67" i="25"/>
  <c r="EJE67" i="25"/>
  <c r="EJG67" i="25"/>
  <c r="EIO67" i="25"/>
  <c r="EIQ67" i="25"/>
  <c r="EHY67" i="25"/>
  <c r="EIA67" i="25"/>
  <c r="EHI67" i="25"/>
  <c r="EHK67" i="25"/>
  <c r="EGS67" i="25"/>
  <c r="EGU67" i="25"/>
  <c r="EGC67" i="25"/>
  <c r="EGE67" i="25"/>
  <c r="EFM67" i="25"/>
  <c r="EFO67" i="25"/>
  <c r="EEW67" i="25"/>
  <c r="EEY67" i="25"/>
  <c r="EEG67" i="25"/>
  <c r="EEI67" i="25"/>
  <c r="EDQ67" i="25"/>
  <c r="EDS67" i="25"/>
  <c r="EDA67" i="25"/>
  <c r="EDC67" i="25"/>
  <c r="ECK67" i="25"/>
  <c r="ECM67" i="25"/>
  <c r="EBU67" i="25"/>
  <c r="EBW67" i="25"/>
  <c r="EBE67" i="25"/>
  <c r="EBG67" i="25"/>
  <c r="EAO67" i="25"/>
  <c r="EAQ67" i="25"/>
  <c r="DZY67" i="25"/>
  <c r="EAA67" i="25"/>
  <c r="DZI67" i="25"/>
  <c r="DZK67" i="25"/>
  <c r="DYS67" i="25"/>
  <c r="DYU67" i="25"/>
  <c r="DYC67" i="25"/>
  <c r="DYE67" i="25"/>
  <c r="DXM67" i="25"/>
  <c r="DXO67" i="25"/>
  <c r="DWW67" i="25"/>
  <c r="DWY67" i="25"/>
  <c r="DWG67" i="25"/>
  <c r="DWI67" i="25"/>
  <c r="DVQ67" i="25"/>
  <c r="DVS67" i="25"/>
  <c r="DVA67" i="25"/>
  <c r="DVC67" i="25"/>
  <c r="DUK67" i="25"/>
  <c r="DUM67" i="25"/>
  <c r="DTU67" i="25"/>
  <c r="DTW67" i="25"/>
  <c r="DTE67" i="25"/>
  <c r="DTG67" i="25"/>
  <c r="DSO67" i="25"/>
  <c r="DSQ67" i="25"/>
  <c r="DRY67" i="25"/>
  <c r="DSA67" i="25"/>
  <c r="DRI67" i="25"/>
  <c r="DRK67" i="25"/>
  <c r="DQS67" i="25"/>
  <c r="DQU67" i="25"/>
  <c r="DQC67" i="25"/>
  <c r="DQE67" i="25"/>
  <c r="DPM67" i="25"/>
  <c r="DPO67" i="25"/>
  <c r="DOW67" i="25"/>
  <c r="DOY67" i="25"/>
  <c r="DOG67" i="25"/>
  <c r="DOI67" i="25"/>
  <c r="DNQ67" i="25"/>
  <c r="DNS67" i="25"/>
  <c r="K18" i="25"/>
  <c r="M18" i="25"/>
  <c r="K16" i="25"/>
  <c r="M16" i="25"/>
  <c r="K15" i="25"/>
  <c r="M15" i="25"/>
  <c r="K13" i="25"/>
  <c r="M13" i="25"/>
  <c r="K11" i="25"/>
  <c r="M11" i="25"/>
  <c r="K11" i="24"/>
  <c r="K18" i="24"/>
  <c r="M18" i="24"/>
  <c r="K17" i="24"/>
  <c r="M17" i="24"/>
  <c r="K12" i="24"/>
  <c r="M12" i="24"/>
  <c r="M11" i="24"/>
  <c r="J38" i="21"/>
  <c r="L38" i="21"/>
  <c r="J37" i="21"/>
  <c r="L37" i="21"/>
  <c r="J36" i="21"/>
  <c r="L36" i="21"/>
  <c r="K76" i="21"/>
  <c r="M76" i="21"/>
  <c r="J35" i="21"/>
  <c r="L35" i="21"/>
  <c r="J34" i="21"/>
  <c r="L34" i="21"/>
  <c r="J101" i="21"/>
  <c r="L101" i="21"/>
  <c r="J100" i="21"/>
  <c r="L100" i="21"/>
  <c r="K57" i="21"/>
  <c r="M57" i="21"/>
  <c r="K56" i="21"/>
  <c r="M56" i="21"/>
  <c r="K16" i="21"/>
  <c r="M16" i="21"/>
  <c r="K14" i="21"/>
  <c r="M14" i="21"/>
  <c r="K13" i="21"/>
  <c r="M13" i="21"/>
  <c r="K12" i="21"/>
  <c r="M12" i="21"/>
  <c r="M144" i="28"/>
  <c r="M143" i="28"/>
</calcChain>
</file>

<file path=xl/sharedStrings.xml><?xml version="1.0" encoding="utf-8"?>
<sst xmlns="http://schemas.openxmlformats.org/spreadsheetml/2006/main" count="4628" uniqueCount="269">
  <si>
    <t>USA / TRINIDAD SHIPPING TARIFF</t>
  </si>
  <si>
    <t>POL</t>
  </si>
  <si>
    <t>POD</t>
  </si>
  <si>
    <t>OF/Bunker</t>
  </si>
  <si>
    <t xml:space="preserve">THC </t>
  </si>
  <si>
    <t>LAC</t>
  </si>
  <si>
    <t>ISPS</t>
  </si>
  <si>
    <t>Container Inspection</t>
  </si>
  <si>
    <t>GRI</t>
  </si>
  <si>
    <t>Total without Insurance</t>
  </si>
  <si>
    <t xml:space="preserve">Insurance </t>
  </si>
  <si>
    <t>Total with Insurance</t>
  </si>
  <si>
    <t xml:space="preserve">Transit Time </t>
  </si>
  <si>
    <t xml:space="preserve">Validity </t>
  </si>
  <si>
    <t>Carrier</t>
  </si>
  <si>
    <t>Agent</t>
  </si>
  <si>
    <t>Port Everglades</t>
  </si>
  <si>
    <t>Point Lisas</t>
  </si>
  <si>
    <t>20ft</t>
  </si>
  <si>
    <t>N/A</t>
  </si>
  <si>
    <t xml:space="preserve">6 days </t>
  </si>
  <si>
    <t>30/06/2026</t>
  </si>
  <si>
    <t>King Ocean</t>
  </si>
  <si>
    <t>Ramps is the agent - 18 free days</t>
  </si>
  <si>
    <t>40ft</t>
  </si>
  <si>
    <t>CMA-CGM</t>
  </si>
  <si>
    <t>Savannah</t>
  </si>
  <si>
    <t>10 days</t>
  </si>
  <si>
    <t>Houston</t>
  </si>
  <si>
    <t>18 days</t>
  </si>
  <si>
    <t>New York</t>
  </si>
  <si>
    <t>Port of Spain</t>
  </si>
  <si>
    <t xml:space="preserve">12 days </t>
  </si>
  <si>
    <t xml:space="preserve">11 days </t>
  </si>
  <si>
    <t xml:space="preserve">Notes </t>
  </si>
  <si>
    <t>Rate are subject to space and equipment validity. Cargo must be ingated on or before the specified validity date; updated rates may apply if container is not ingated by said date. Insurance on cargo / shipments covers a C&amp;F value of USD$30,000.00. Values greater than USD$30,000 as well as commodities from the following link  must be quoted on a case by case basis.
https://rampslogistics.sharepoint.com/:b:/g/EXQqiepx0M5FvU-5JX1dgTMByzcAqY_kNANFv16OBUrmoA?e=zFgfQK                                                                   
Should client refuse to accept Marine Insurance provided by  Ramps Logistics, Ramps Logistics shall not be held liable for any claims, loss or damages resulting from the execution of services quoted and accepted by client</t>
  </si>
  <si>
    <t>BRAZIL / TRINIDAD SHIPPING TARIFF</t>
  </si>
  <si>
    <t xml:space="preserve">Local Charges </t>
  </si>
  <si>
    <t>Comment</t>
  </si>
  <si>
    <t>Santos/Itajai/Paranagua/Rio De Janiero/Rio Grande</t>
  </si>
  <si>
    <t>35-37</t>
  </si>
  <si>
    <t>MSC</t>
  </si>
  <si>
    <t>Space is available, there is an increase in demand this month so advanced bookings are recommended.</t>
  </si>
  <si>
    <t>DC- 14 free days</t>
  </si>
  <si>
    <t>Santos/Imbituba (TILES)</t>
  </si>
  <si>
    <t>23-28</t>
  </si>
  <si>
    <t>CMA CGM</t>
  </si>
  <si>
    <t>Space is available</t>
  </si>
  <si>
    <t>ES - 14 free days</t>
  </si>
  <si>
    <t>Santos/Itajai/Paranagua/Rio Grande(Lumber)</t>
  </si>
  <si>
    <t>CHINA / TRINIDAD SHIPPING TARIFF</t>
  </si>
  <si>
    <t>Other Port Charges</t>
  </si>
  <si>
    <t>Local Handling</t>
  </si>
  <si>
    <t>Admin</t>
  </si>
  <si>
    <t>Total w/out Insurance</t>
  </si>
  <si>
    <t>Shenzhen/Shanghai/Ningbo/Xiamen/Shekou/Yantian/Qingdao</t>
  </si>
  <si>
    <t>Port of Spain/Point Lisas</t>
  </si>
  <si>
    <t>-</t>
  </si>
  <si>
    <t>45-55</t>
  </si>
  <si>
    <t>14/06/2026</t>
  </si>
  <si>
    <t>Severe Space issues, MSC released a diamond tier fee of USD$2000.00 to secure space.</t>
  </si>
  <si>
    <t>Carson - 14 free days</t>
  </si>
  <si>
    <t>Shenzhen/Shanghai/Ningbo/Xiamen/Shekou/Yantian/Qingdao (DT)</t>
  </si>
  <si>
    <t>These are diamond tier rates that will secure your booking space.</t>
  </si>
  <si>
    <t>Gaoming</t>
  </si>
  <si>
    <t>Shanghai/Xiamen/Tianjin/Shenzhen/Ningbo/Qingdao/Hong Kong/Xingang/Yantian</t>
  </si>
  <si>
    <t>COSCO</t>
  </si>
  <si>
    <t>Severe Space issues, COSCO is charging USD$800-USD$1000.00 to secure space.</t>
  </si>
  <si>
    <t>Wahsen - 17 free days</t>
  </si>
  <si>
    <t>Tianjin/Jiujiang (Shunde)/Hong Kong/Dalian</t>
  </si>
  <si>
    <t>Dalian/Gaoming(Foshan)/Sanshui/Yunfu/Nansha/Huangpu/Guangzhou</t>
  </si>
  <si>
    <t>Nansha/Guangzhou/Huangpu</t>
  </si>
  <si>
    <t>Nanjing/Jiujiang (Jiangxi)</t>
  </si>
  <si>
    <t>Shekou/Shanghai/Ningbo/Qingdao/Xiamen/Hong Kong/Yantian</t>
  </si>
  <si>
    <t>ONE</t>
  </si>
  <si>
    <t>Space is LIMITED, BOOK NOW, OVW FEE: USD200 AFTER 18 TONS</t>
  </si>
  <si>
    <t>Wahsen - 14 Free</t>
  </si>
  <si>
    <t>Shantou</t>
  </si>
  <si>
    <t>Liangyungang</t>
  </si>
  <si>
    <t>Yichang</t>
  </si>
  <si>
    <t>KOREA / TRINIDAD SHIPPING TARIFF</t>
  </si>
  <si>
    <t>Busan</t>
  </si>
  <si>
    <t>Port of Spain/ Point Lisas</t>
  </si>
  <si>
    <t>TAIWAN / TRINIDAD SHIPPING TARIFF</t>
  </si>
  <si>
    <t>Keelung/ Kaoisung</t>
  </si>
  <si>
    <t>55-60</t>
  </si>
  <si>
    <t>JAPAN / TRINIDAD SHIPPING TARIFF</t>
  </si>
  <si>
    <t>Yokohama, Osaka</t>
  </si>
  <si>
    <t>VIETNAM / TRINIDAD SHIPPING TARIFF</t>
  </si>
  <si>
    <t>Ho Chi Minh</t>
  </si>
  <si>
    <t>21/06/2026</t>
  </si>
  <si>
    <t>INDIA / TRINIDAD SHIPPING TARIFF</t>
  </si>
  <si>
    <t>Mundra (TILES)</t>
  </si>
  <si>
    <t>Port-of-Spain</t>
  </si>
  <si>
    <t>65-70</t>
  </si>
  <si>
    <t>Space is TIGHT, Bookings should be placed in advance</t>
  </si>
  <si>
    <t>ORCA -12 free days</t>
  </si>
  <si>
    <t>Mundra/ Nhava Sheva</t>
  </si>
  <si>
    <t>Trikom -11 free days</t>
  </si>
  <si>
    <t>MALAYSIA / TRINIDAD SHIPPING TARIFF</t>
  </si>
  <si>
    <t>Port Klang, Pasir Gudang</t>
  </si>
  <si>
    <t>Space is ok, space released once booking form is completed</t>
  </si>
  <si>
    <t>THAILAND/ TRINIDAD SHIPPING TARIFF</t>
  </si>
  <si>
    <t>Bangkok</t>
  </si>
  <si>
    <t>peter - 14 free days</t>
  </si>
  <si>
    <t>PANAMA / TRINIDAD SHIPPING TARIFF</t>
  </si>
  <si>
    <t>LAC/Local charges</t>
  </si>
  <si>
    <t>Manzanillo</t>
  </si>
  <si>
    <t>Maersk</t>
  </si>
  <si>
    <t>Upcargo - 11 free days</t>
  </si>
  <si>
    <t>TURKEY / TRINIDAD SHIPPING TARIFF</t>
  </si>
  <si>
    <t>Docs</t>
  </si>
  <si>
    <t>Gemlik (TILES)</t>
  </si>
  <si>
    <t>55-65</t>
  </si>
  <si>
    <t>BATI Logistics - 11 free days</t>
  </si>
  <si>
    <t>Gebze/ Gemilk / Aliaga/ Istanbul</t>
  </si>
  <si>
    <t>COLOMBIA / TRINIDAD SHIPPING TARIFF</t>
  </si>
  <si>
    <t>Buenaventura</t>
  </si>
  <si>
    <t>16-20</t>
  </si>
  <si>
    <t>Cartagena</t>
  </si>
  <si>
    <t>MEXICO / TRINIDAD SHIPPING TARIFF</t>
  </si>
  <si>
    <t>Altamira</t>
  </si>
  <si>
    <t>Port-of-Spain/ Point Lisas</t>
  </si>
  <si>
    <t>CMA</t>
  </si>
  <si>
    <t>GUYANA TO TRINIDAD SHIPPING TARIFF</t>
  </si>
  <si>
    <t>Emergency Fuel Surcharge</t>
  </si>
  <si>
    <t xml:space="preserve">OTHC </t>
  </si>
  <si>
    <t>Agency Admin (Guyana)</t>
  </si>
  <si>
    <t>Destination Terminal Handling Charge (DTHC)</t>
  </si>
  <si>
    <t>Destination LAC</t>
  </si>
  <si>
    <t>Georgetown</t>
  </si>
  <si>
    <t>1-2 days</t>
  </si>
  <si>
    <t>USA / GUYANA SHIPPING TARIFF</t>
  </si>
  <si>
    <t>Free Days</t>
  </si>
  <si>
    <t>12-15 days</t>
  </si>
  <si>
    <t>14 Days</t>
  </si>
  <si>
    <t>14 days</t>
  </si>
  <si>
    <t>22 days</t>
  </si>
  <si>
    <t xml:space="preserve">New York </t>
  </si>
  <si>
    <t>15 days</t>
  </si>
  <si>
    <t>BRAZIL / GUYANA SHIPPING TARIFF</t>
  </si>
  <si>
    <t>Ocean Freight</t>
  </si>
  <si>
    <t>DTHC</t>
  </si>
  <si>
    <t>Santos/Rio de Janiero/Salvador/Parangua</t>
  </si>
  <si>
    <t>39-43</t>
  </si>
  <si>
    <t>Space is available, sailings are booking quickly so advanced bookings are recommended.</t>
  </si>
  <si>
    <t>Fast shipping</t>
  </si>
  <si>
    <t>Santos (TILES)</t>
  </si>
  <si>
    <t xml:space="preserve"> Included </t>
  </si>
  <si>
    <t>21 Days</t>
  </si>
  <si>
    <t>DSV</t>
  </si>
  <si>
    <t>Paranagua (Lumber)</t>
  </si>
  <si>
    <t>CHINA / GUYANA SHIPPING TARIFF</t>
  </si>
  <si>
    <t>Port Charges</t>
  </si>
  <si>
    <t>Handling Fee</t>
  </si>
  <si>
    <t>Comments</t>
  </si>
  <si>
    <t>Free time</t>
  </si>
  <si>
    <t>Shenzhen/ Shanghai/ Ningbo/ Qingdao/ Xiamen/ Hong Kong/ Chiwan/Yantian/Xingang</t>
  </si>
  <si>
    <t>14/6/2026</t>
  </si>
  <si>
    <t>Space is LIMITED, BOOK NOW</t>
  </si>
  <si>
    <t>Hardy</t>
  </si>
  <si>
    <t>Foshan/Gaoming/Yunfu/Tianjin/Guangzhou</t>
  </si>
  <si>
    <t>Shenzhen/ Shanghai/ Ningbo/ Qingdao/ Xiamen/ Hong Kong/ Chiwan/Yantian/Xingang/Tianjin</t>
  </si>
  <si>
    <t>17 days</t>
  </si>
  <si>
    <t>Yunfu/Gaoming</t>
  </si>
  <si>
    <t>Wahsen/COSCO</t>
  </si>
  <si>
    <t>JAPAN / GUYANA SHIPPING TARIFF</t>
  </si>
  <si>
    <t>Yokohama</t>
  </si>
  <si>
    <t>Kobe</t>
  </si>
  <si>
    <t>MALAYSIA / GUYANA SHIPPING TARIFF</t>
  </si>
  <si>
    <t>Port Klang, Tanjung</t>
  </si>
  <si>
    <t>INDIA / GUYANA SHIPPING TARIFF</t>
  </si>
  <si>
    <t>Mundra</t>
  </si>
  <si>
    <t>65-75</t>
  </si>
  <si>
    <t>15/6/2026</t>
  </si>
  <si>
    <t>MSK</t>
  </si>
  <si>
    <t>28 days</t>
  </si>
  <si>
    <t xml:space="preserve">Orca Shipping </t>
  </si>
  <si>
    <t>PANAMA / GUYANA SHIPPING TARIFF</t>
  </si>
  <si>
    <t>Guyana Port Congestion</t>
  </si>
  <si>
    <t>15 to 16 days</t>
  </si>
  <si>
    <t>30/6/2026</t>
  </si>
  <si>
    <t>12 Days</t>
  </si>
  <si>
    <t>TURKEY/ GUYANA SHIPPING TARIFF</t>
  </si>
  <si>
    <t>Gemlik/Gebze</t>
  </si>
  <si>
    <t>30-35</t>
  </si>
  <si>
    <t xml:space="preserve">Space available </t>
  </si>
  <si>
    <t>12 days</t>
  </si>
  <si>
    <t>COLOMBIA/ GUYANA SHIPPING TARIFF</t>
  </si>
  <si>
    <t xml:space="preserve">Buenaventura </t>
  </si>
  <si>
    <t xml:space="preserve">Cartagena </t>
  </si>
  <si>
    <t>USA / SURINAME SHIPPING TARIFF</t>
  </si>
  <si>
    <t xml:space="preserve">Dredging </t>
  </si>
  <si>
    <t>Terminal Lease Surchage</t>
  </si>
  <si>
    <t xml:space="preserve">Port Everglades </t>
  </si>
  <si>
    <t>Paramaribo</t>
  </si>
  <si>
    <t>12-18 days</t>
  </si>
  <si>
    <t xml:space="preserve">Savannah </t>
  </si>
  <si>
    <t>16 days</t>
  </si>
  <si>
    <t>BRAZIL / SURINAME SHIPPING TARIFF</t>
  </si>
  <si>
    <t>Dredging Fee</t>
  </si>
  <si>
    <t>Terminal Lease Surcharge</t>
  </si>
  <si>
    <t>Insurance</t>
  </si>
  <si>
    <t>Santos/Rio Grande/Rio De Janiero/Paranagua/Itapoa</t>
  </si>
  <si>
    <t>Space is tight, book in advance.</t>
  </si>
  <si>
    <t>DC</t>
  </si>
  <si>
    <t>Navegantes</t>
  </si>
  <si>
    <t>31/03/2026</t>
  </si>
  <si>
    <t>Hapag Lloyd</t>
  </si>
  <si>
    <t>Wahsen</t>
  </si>
  <si>
    <t>Santos (Tiles)</t>
  </si>
  <si>
    <t>Included</t>
  </si>
  <si>
    <t>CHINA / SURINAME SHIPPING TARIFF</t>
  </si>
  <si>
    <t>Shenzhen/ Shanghai/ Ningbo/ Qingdao/ Xiamen/ Yantian</t>
  </si>
  <si>
    <t>14/6/2025</t>
  </si>
  <si>
    <t>Port Charges does not incl. storage fees or taxes</t>
  </si>
  <si>
    <t>becky</t>
  </si>
  <si>
    <t>Shenzhen/ Shanghai/ Ningbo/ Qingdao/ Xiamen/ Hong Kong/ Chiwan/Yantian</t>
  </si>
  <si>
    <t xml:space="preserve">Port Charges does not incl. storage fees. </t>
  </si>
  <si>
    <t>KOREA / SURINAME SHIPPING TARIFF</t>
  </si>
  <si>
    <t xml:space="preserve">Space is LIMITED, BOOK NOW
Port Charges does not incl. storage fees. </t>
  </si>
  <si>
    <t>COSCO local SR</t>
  </si>
  <si>
    <t>MALAYSIA / SURINAME SHIPPING TARIFF</t>
  </si>
  <si>
    <t>Port Klang/ Pasir Gudang</t>
  </si>
  <si>
    <t>VIETNAM / SURINAME SHIPPING TARIFF</t>
  </si>
  <si>
    <t xml:space="preserve">Port Charges does not incl. deposit, extra dienst or storage fees. </t>
  </si>
  <si>
    <t>JAPAN / SURINAME SHIPPING TARIFF</t>
  </si>
  <si>
    <t>Nagoya</t>
  </si>
  <si>
    <t>70-80</t>
  </si>
  <si>
    <t>30/4/2025</t>
  </si>
  <si>
    <t>ZIM</t>
  </si>
  <si>
    <t>INDIA / SURINAME SHIPPING TARIFF</t>
  </si>
  <si>
    <t>75-85</t>
  </si>
  <si>
    <t>MAERSK</t>
  </si>
  <si>
    <t xml:space="preserve">Space is limited, 20' containers are scarce. </t>
  </si>
  <si>
    <t>ORCA</t>
  </si>
  <si>
    <t>THAILAND/ SURINAME SHIPPING TARIFF</t>
  </si>
  <si>
    <t> </t>
  </si>
  <si>
    <t>PANAMA / SURINAME SHIPPING TARIFF</t>
  </si>
  <si>
    <t>Administration</t>
  </si>
  <si>
    <t>TURKEY / SURINAME SHIPPING TARIFF</t>
  </si>
  <si>
    <t>Gemlik/ Gebze</t>
  </si>
  <si>
    <t>Space available</t>
  </si>
  <si>
    <t>65-85</t>
  </si>
  <si>
    <t>COLOMBIA/ SURINAME SHIPPING TARIFF</t>
  </si>
  <si>
    <t>TRINIDAD TO GUYANA SHIPPING TARIFF</t>
  </si>
  <si>
    <t>Origin LAC</t>
  </si>
  <si>
    <t>TRINIDAD TO SURINAME SHIPPING TARIFF</t>
  </si>
  <si>
    <t>Terminal lease surcharge (Suriname)</t>
  </si>
  <si>
    <t>Dregding Fee (Suriname)</t>
  </si>
  <si>
    <t>Agency Admin (Suriname)</t>
  </si>
  <si>
    <t>TRINIDAD TO BARBADOS SHIPPING TARIFF</t>
  </si>
  <si>
    <t>Bridgetown</t>
  </si>
  <si>
    <t>Subject to destination charges</t>
  </si>
  <si>
    <t>TRINIDAD TO JAMAICA SHIPPING TARIFF</t>
  </si>
  <si>
    <t>Kingston</t>
  </si>
  <si>
    <t>TRINIDAD TO DOMINICAN REPUBLIC SHIPPING TARIFF</t>
  </si>
  <si>
    <t>Caucedo</t>
  </si>
  <si>
    <t>CHINA / COLOMBIA SHIPPING TARIFF</t>
  </si>
  <si>
    <t>DOC Fee</t>
  </si>
  <si>
    <t>EIR (VAT INCL)</t>
  </si>
  <si>
    <t>Shenzhen/ Shanghai/ Ningbo/ Xiamen/Shekou/ Yantian/Qingdao</t>
  </si>
  <si>
    <t>Barranquilla</t>
  </si>
  <si>
    <t>14/11/2025</t>
  </si>
  <si>
    <t>30/11/2025</t>
  </si>
  <si>
    <t>YML</t>
  </si>
  <si>
    <t>Space is TIGHT, Bookings should be placed in advance
OWS: TARE+CARGO  18-23.99 tons  USD200/20GP,   24tons and above, USD300/20GP</t>
  </si>
  <si>
    <t>Space is OK. Book in advance</t>
  </si>
  <si>
    <t>35-40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</si>
</sst>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44" formatCode="_(&quot;$&quot;* #,##0.00_);_(&quot;$&quot;* \(#,##0.00\);_(&quot;$&quot;* &quot;-&quot;??_);_(@_)"/>
    <numFmt numFmtId="43" formatCode="_(* #,##0.00_);_(* \(#,##0.00\);_(* &quot;-&quot;??_);_(@_)"/>
    <numFmt numFmtId="164" formatCode="&quot;$&quot;#,##0.00;[Red]&quot;$&quot;#,##0.00"/>
  </numFmts>
  <fonts count="17" x14ac:knownFonts="1">
    <font>
      <sz val="11"/>
      <color theme="1"/>
      <name val="Aptos Narrow"/>
      <family val="2"/>
      <scheme val="minor"/>
    </font>
    <font>
      <sz val="11"/>
      <color theme="1"/>
      <name val="Aptos Narrow"/>
      <family val="2"/>
      <scheme val="minor"/>
    </font>
    <font>
      <b/>
      <sz val="11"/>
      <color theme="1"/>
      <name val="Aptos Narrow"/>
      <family val="2"/>
      <scheme val="minor"/>
    </font>
    <font>
      <sz val="11"/>
      <name val="Aptos Narrow"/>
      <family val="2"/>
      <scheme val="minor"/>
    </font>
    <font>
      <b/>
      <sz val="11"/>
      <color theme="1" tint="4.9989318521683403E-2"/>
      <name val="Aptos Narrow"/>
      <family val="2"/>
      <scheme val="minor"/>
    </font>
    <font>
      <b/>
      <sz val="22"/>
      <color theme="0"/>
      <name val="Aptos Narrow"/>
      <family val="2"/>
    </font>
    <font>
      <b/>
      <sz val="12"/>
      <color theme="0"/>
      <name val="Aptos Narrow"/>
      <family val="2"/>
    </font>
    <font>
      <sz val="11"/>
      <color rgb="FF000000"/>
      <name val="Aptos Narrow"/>
      <family val="2"/>
    </font>
    <font>
      <b/>
      <sz val="11"/>
      <color rgb="FF0D0D0D"/>
      <name val="Aptos Narrow"/>
      <family val="2"/>
    </font>
    <font>
      <sz val="11"/>
      <name val="Aptos Narrow"/>
      <family val="2"/>
    </font>
    <font>
      <b/>
      <sz val="11"/>
      <color rgb="FF000000"/>
      <name val="Aptos Narrow"/>
      <family val="2"/>
    </font>
    <font>
      <b/>
      <sz val="22"/>
      <color rgb="FFFFFFFF"/>
      <name val="Aptos Narrow"/>
      <family val="2"/>
    </font>
    <font>
      <sz val="6"/>
      <name val="Yu Gothic"/>
      <family val="2"/>
      <charset val="128"/>
    </font>
    <font>
      <sz val="11"/>
      <color rgb="FF000000"/>
      <name val="Aptos Narrow"/>
      <family val="2"/>
      <scheme val="minor"/>
    </font>
    <font>
      <sz val="8"/>
      <name val="Aptos Narrow"/>
      <family val="2"/>
      <scheme val="minor"/>
    </font>
    <font>
      <sz val="11"/>
      <color theme="1"/>
      <name val="Aptos Narrow"/>
      <family val="2"/>
    </font>
    <font>
      <b/>
      <sz val="22"/>
      <color theme="0"/>
      <name val="Aptos Narrow"/>
    </font>
  </fonts>
  <fills count="8">
    <fill>
      <patternFill patternType="none"/>
    </fill>
    <fill>
      <patternFill patternType="gray125"/>
    </fill>
    <fill>
      <patternFill patternType="solid">
        <fgColor theme="4" tint="0.59999389629810485"/>
        <bgColor indexed="64"/>
      </patternFill>
    </fill>
    <fill>
      <patternFill patternType="solid">
        <fgColor rgb="FF002060"/>
        <bgColor rgb="FF000000"/>
      </patternFill>
    </fill>
    <fill>
      <patternFill patternType="solid">
        <fgColor rgb="FF83CCEB"/>
        <bgColor rgb="FF000000"/>
      </patternFill>
    </fill>
    <fill>
      <patternFill patternType="solid">
        <fgColor theme="0"/>
        <bgColor indexed="64"/>
      </patternFill>
    </fill>
    <fill>
      <patternFill patternType="solid">
        <fgColor rgb="FFFFFFFF"/>
        <bgColor rgb="FF000000"/>
      </patternFill>
    </fill>
    <fill>
      <patternFill patternType="solid">
        <fgColor theme="9" tint="0.39997558519241921"/>
        <bgColor indexed="64"/>
      </patternFill>
    </fill>
  </fills>
  <borders count="73">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rgb="FF000000"/>
      </bottom>
      <diagonal/>
    </border>
    <border>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medium">
        <color indexed="64"/>
      </left>
      <right/>
      <top/>
      <bottom style="thin">
        <color indexed="64"/>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auto="1"/>
      </left>
      <right style="thin">
        <color auto="1"/>
      </right>
      <top/>
      <bottom style="medium">
        <color indexed="64"/>
      </bottom>
      <diagonal/>
    </border>
    <border>
      <left style="thin">
        <color rgb="FF000000"/>
      </left>
      <right/>
      <top style="thin">
        <color indexed="64"/>
      </top>
      <bottom style="thin">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right style="medium">
        <color indexed="64"/>
      </right>
      <top style="thin">
        <color indexed="64"/>
      </top>
      <bottom/>
      <diagonal/>
    </border>
    <border>
      <left style="thin">
        <color indexed="64"/>
      </left>
      <right/>
      <top/>
      <bottom style="medium">
        <color indexed="64"/>
      </bottom>
      <diagonal/>
    </border>
    <border>
      <left style="thin">
        <color indexed="64"/>
      </left>
      <right/>
      <top style="medium">
        <color indexed="64"/>
      </top>
      <bottom/>
      <diagonal/>
    </border>
    <border>
      <left style="medium">
        <color indexed="64"/>
      </left>
      <right style="thin">
        <color indexed="64"/>
      </right>
      <top/>
      <bottom style="medium">
        <color indexed="64"/>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indexed="64"/>
      </left>
      <right style="thin">
        <color indexed="64"/>
      </right>
      <top style="thin">
        <color theme="2" tint="-9.9978637043366805E-2"/>
      </top>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diagonal/>
    </border>
    <border>
      <left style="medium">
        <color indexed="64"/>
      </left>
      <right style="thin">
        <color indexed="64"/>
      </right>
      <top/>
      <bottom/>
      <diagonal/>
    </border>
  </borders>
  <cellStyleXfs count="3">
    <xf numFmtId="0" fontId="0" fillId="0" borderId="0"/>
    <xf numFmtId="44" fontId="1" fillId="0" borderId="0" applyFont="0" applyFill="0" applyBorder="0" applyAlignment="0" applyProtection="0"/>
    <xf numFmtId="43" fontId="1" fillId="0" borderId="0" applyFont="0" applyFill="0" applyBorder="0" applyAlignment="0" applyProtection="0"/>
  </cellStyleXfs>
  <cellXfs count="381">
    <xf numFmtId="0" fontId="0" fillId="0" borderId="0" xfId="0"/>
    <xf numFmtId="0" fontId="4" fillId="2" borderId="1" xfId="0" applyFont="1" applyFill="1" applyBorder="1" applyAlignment="1">
      <alignment horizontal="center"/>
    </xf>
    <xf numFmtId="0" fontId="4" fillId="2" borderId="1" xfId="0" applyFont="1" applyFill="1" applyBorder="1" applyAlignment="1">
      <alignment horizont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xf>
    <xf numFmtId="0" fontId="6" fillId="3" borderId="8" xfId="0" applyFont="1" applyFill="1" applyBorder="1" applyAlignment="1">
      <alignment horizontal="left" vertical="center"/>
    </xf>
    <xf numFmtId="0" fontId="6" fillId="3" borderId="9" xfId="0" applyFont="1" applyFill="1" applyBorder="1" applyAlignment="1">
      <alignment horizontal="left" vertical="center"/>
    </xf>
    <xf numFmtId="0" fontId="6" fillId="3" borderId="10" xfId="0" applyFont="1" applyFill="1" applyBorder="1" applyAlignment="1">
      <alignment horizontal="left" vertical="center"/>
    </xf>
    <xf numFmtId="0" fontId="4" fillId="2" borderId="1" xfId="0" applyFont="1" applyFill="1" applyBorder="1"/>
    <xf numFmtId="0" fontId="4" fillId="2" borderId="1" xfId="0" applyFont="1" applyFill="1" applyBorder="1" applyAlignment="1">
      <alignment horizontal="right"/>
    </xf>
    <xf numFmtId="0" fontId="4" fillId="2" borderId="2" xfId="0" applyFont="1" applyFill="1" applyBorder="1" applyAlignment="1">
      <alignment horizontal="right"/>
    </xf>
    <xf numFmtId="0" fontId="8" fillId="4" borderId="1" xfId="0" applyFont="1" applyFill="1" applyBorder="1" applyAlignment="1">
      <alignment wrapText="1"/>
    </xf>
    <xf numFmtId="0" fontId="8" fillId="4" borderId="16" xfId="0" applyFont="1" applyFill="1" applyBorder="1"/>
    <xf numFmtId="0" fontId="8" fillId="4" borderId="16" xfId="0" applyFont="1" applyFill="1" applyBorder="1" applyAlignment="1">
      <alignment wrapText="1"/>
    </xf>
    <xf numFmtId="0" fontId="8" fillId="4" borderId="10" xfId="0" applyFont="1" applyFill="1" applyBorder="1"/>
    <xf numFmtId="0" fontId="4" fillId="2" borderId="2" xfId="0" applyFont="1" applyFill="1" applyBorder="1" applyAlignment="1">
      <alignment horizontal="left"/>
    </xf>
    <xf numFmtId="0" fontId="0" fillId="5" borderId="0" xfId="0" applyFill="1" applyAlignment="1">
      <alignment horizontal="centerContinuous"/>
    </xf>
    <xf numFmtId="0" fontId="0" fillId="5" borderId="0" xfId="0" applyFill="1"/>
    <xf numFmtId="0" fontId="0" fillId="5" borderId="1" xfId="0" applyFill="1" applyBorder="1" applyAlignment="1">
      <alignment vertical="center"/>
    </xf>
    <xf numFmtId="44" fontId="3" fillId="5" borderId="1" xfId="1" applyFont="1" applyFill="1" applyBorder="1" applyAlignment="1">
      <alignment vertical="center"/>
    </xf>
    <xf numFmtId="44" fontId="0" fillId="5" borderId="1" xfId="1" applyFont="1" applyFill="1" applyBorder="1" applyAlignment="1">
      <alignment horizontal="right" vertical="center"/>
    </xf>
    <xf numFmtId="44" fontId="2" fillId="5" borderId="1" xfId="1" applyFont="1" applyFill="1" applyBorder="1" applyAlignment="1">
      <alignment vertical="center"/>
    </xf>
    <xf numFmtId="44" fontId="0" fillId="5" borderId="1" xfId="1" applyFont="1" applyFill="1" applyBorder="1" applyAlignment="1">
      <alignment vertical="center"/>
    </xf>
    <xf numFmtId="14" fontId="0" fillId="5" borderId="5" xfId="0" applyNumberFormat="1" applyFill="1" applyBorder="1" applyAlignment="1">
      <alignment vertical="center"/>
    </xf>
    <xf numFmtId="0" fontId="0" fillId="5" borderId="6" xfId="0" applyFill="1" applyBorder="1" applyAlignment="1">
      <alignment vertical="center"/>
    </xf>
    <xf numFmtId="44" fontId="0" fillId="5" borderId="0" xfId="0" applyNumberFormat="1" applyFill="1"/>
    <xf numFmtId="0" fontId="0" fillId="5" borderId="0" xfId="0" applyFill="1" applyAlignment="1">
      <alignment horizontal="center" vertical="center"/>
    </xf>
    <xf numFmtId="0" fontId="0" fillId="5" borderId="0" xfId="0" applyFill="1" applyAlignment="1">
      <alignment vertical="center"/>
    </xf>
    <xf numFmtId="14" fontId="0" fillId="5" borderId="0" xfId="0" applyNumberFormat="1" applyFill="1" applyAlignment="1">
      <alignment vertical="center"/>
    </xf>
    <xf numFmtId="0" fontId="0" fillId="5" borderId="0" xfId="0" applyFill="1" applyAlignment="1">
      <alignment horizontal="left" wrapText="1"/>
    </xf>
    <xf numFmtId="8" fontId="7" fillId="5" borderId="1" xfId="0" applyNumberFormat="1" applyFont="1" applyFill="1" applyBorder="1"/>
    <xf numFmtId="8" fontId="7" fillId="5" borderId="4" xfId="0" applyNumberFormat="1" applyFont="1" applyFill="1" applyBorder="1"/>
    <xf numFmtId="8" fontId="7" fillId="5" borderId="14" xfId="0" applyNumberFormat="1" applyFont="1" applyFill="1" applyBorder="1"/>
    <xf numFmtId="8" fontId="2" fillId="5" borderId="1" xfId="1" applyNumberFormat="1" applyFont="1" applyFill="1" applyBorder="1" applyAlignment="1">
      <alignment vertical="center"/>
    </xf>
    <xf numFmtId="0" fontId="7" fillId="5" borderId="1" xfId="0" applyFont="1" applyFill="1" applyBorder="1"/>
    <xf numFmtId="0" fontId="7" fillId="5" borderId="14" xfId="0" applyFont="1" applyFill="1" applyBorder="1"/>
    <xf numFmtId="0" fontId="7" fillId="5" borderId="0" xfId="0" applyFont="1" applyFill="1" applyAlignment="1">
      <alignment horizontal="center" vertical="center"/>
    </xf>
    <xf numFmtId="8" fontId="7" fillId="5" borderId="0" xfId="0" applyNumberFormat="1" applyFont="1" applyFill="1"/>
    <xf numFmtId="0" fontId="7" fillId="5" borderId="0" xfId="0" applyFont="1" applyFill="1" applyAlignment="1">
      <alignment horizontal="left"/>
    </xf>
    <xf numFmtId="0" fontId="7" fillId="5" borderId="6" xfId="0" applyFont="1" applyFill="1" applyBorder="1"/>
    <xf numFmtId="0" fontId="0" fillId="5" borderId="6" xfId="0" applyFill="1" applyBorder="1"/>
    <xf numFmtId="0" fontId="0" fillId="5" borderId="0" xfId="0" applyFill="1" applyAlignment="1">
      <alignment horizontal="right"/>
    </xf>
    <xf numFmtId="0" fontId="0" fillId="5" borderId="1" xfId="0" applyFill="1" applyBorder="1"/>
    <xf numFmtId="44" fontId="0" fillId="5" borderId="1" xfId="1" applyFont="1" applyFill="1" applyBorder="1" applyAlignment="1">
      <alignment horizontal="right"/>
    </xf>
    <xf numFmtId="44" fontId="2" fillId="5" borderId="1" xfId="1" applyFont="1" applyFill="1" applyBorder="1"/>
    <xf numFmtId="44" fontId="0" fillId="5" borderId="1" xfId="1" applyFont="1" applyFill="1" applyBorder="1"/>
    <xf numFmtId="44" fontId="1" fillId="5" borderId="1" xfId="1" applyFont="1" applyFill="1" applyBorder="1"/>
    <xf numFmtId="8" fontId="2" fillId="5" borderId="1" xfId="1" applyNumberFormat="1" applyFont="1" applyFill="1" applyBorder="1"/>
    <xf numFmtId="0" fontId="0" fillId="5" borderId="1" xfId="0" applyFill="1" applyBorder="1" applyAlignment="1">
      <alignment horizontal="left"/>
    </xf>
    <xf numFmtId="0" fontId="0" fillId="5" borderId="0" xfId="0" applyFill="1" applyAlignment="1">
      <alignment horizontal="center"/>
    </xf>
    <xf numFmtId="44" fontId="0" fillId="5" borderId="0" xfId="1" applyFont="1" applyFill="1" applyBorder="1"/>
    <xf numFmtId="44" fontId="0" fillId="5" borderId="0" xfId="1" applyFont="1" applyFill="1" applyBorder="1" applyAlignment="1">
      <alignment horizontal="right"/>
    </xf>
    <xf numFmtId="44" fontId="2" fillId="5" borderId="0" xfId="1" applyFont="1" applyFill="1" applyBorder="1"/>
    <xf numFmtId="44" fontId="1" fillId="5" borderId="0" xfId="1" applyFont="1" applyFill="1" applyBorder="1"/>
    <xf numFmtId="14" fontId="0" fillId="5" borderId="0" xfId="0" applyNumberFormat="1" applyFill="1"/>
    <xf numFmtId="44" fontId="3" fillId="5" borderId="0" xfId="1" applyFont="1" applyFill="1" applyBorder="1"/>
    <xf numFmtId="8" fontId="10" fillId="5" borderId="14" xfId="0" applyNumberFormat="1" applyFont="1" applyFill="1" applyBorder="1"/>
    <xf numFmtId="0" fontId="7" fillId="5" borderId="17" xfId="0" applyFont="1" applyFill="1" applyBorder="1"/>
    <xf numFmtId="0" fontId="10" fillId="5" borderId="0" xfId="0" applyFont="1" applyFill="1"/>
    <xf numFmtId="8" fontId="10" fillId="5" borderId="0" xfId="0" applyNumberFormat="1" applyFont="1" applyFill="1"/>
    <xf numFmtId="14" fontId="7" fillId="5" borderId="0" xfId="0" applyNumberFormat="1" applyFont="1" applyFill="1"/>
    <xf numFmtId="0" fontId="7" fillId="5" borderId="0" xfId="0" applyFont="1" applyFill="1" applyAlignment="1">
      <alignment wrapText="1"/>
    </xf>
    <xf numFmtId="8" fontId="9" fillId="5" borderId="1" xfId="0" applyNumberFormat="1" applyFont="1" applyFill="1" applyBorder="1"/>
    <xf numFmtId="8" fontId="9" fillId="5" borderId="24" xfId="0" applyNumberFormat="1" applyFont="1" applyFill="1" applyBorder="1"/>
    <xf numFmtId="44" fontId="0" fillId="5" borderId="24" xfId="1" applyFont="1" applyFill="1" applyBorder="1"/>
    <xf numFmtId="8" fontId="2" fillId="5" borderId="24" xfId="1" applyNumberFormat="1" applyFont="1" applyFill="1" applyBorder="1"/>
    <xf numFmtId="0" fontId="0" fillId="5" borderId="24" xfId="0" applyFill="1" applyBorder="1"/>
    <xf numFmtId="0" fontId="4" fillId="2" borderId="1" xfId="0" applyFont="1" applyFill="1" applyBorder="1" applyAlignment="1">
      <alignment wrapText="1"/>
    </xf>
    <xf numFmtId="0" fontId="2" fillId="5" borderId="1" xfId="0" applyFont="1" applyFill="1" applyBorder="1" applyAlignment="1">
      <alignment horizontal="left" vertical="center" wrapText="1"/>
    </xf>
    <xf numFmtId="0" fontId="0" fillId="5" borderId="1" xfId="0" applyFill="1" applyBorder="1" applyAlignment="1">
      <alignment horizontal="center"/>
    </xf>
    <xf numFmtId="44" fontId="0" fillId="5" borderId="1" xfId="1" applyFont="1" applyFill="1" applyBorder="1" applyAlignment="1">
      <alignment horizontal="center"/>
    </xf>
    <xf numFmtId="8" fontId="2" fillId="5" borderId="1" xfId="1" applyNumberFormat="1" applyFont="1" applyFill="1" applyBorder="1" applyAlignment="1">
      <alignment horizontal="center"/>
    </xf>
    <xf numFmtId="0" fontId="4" fillId="2" borderId="30" xfId="0" applyFont="1" applyFill="1" applyBorder="1" applyAlignment="1">
      <alignment horizontal="center" vertical="center"/>
    </xf>
    <xf numFmtId="44" fontId="0" fillId="5" borderId="0" xfId="1" applyFont="1" applyFill="1" applyAlignment="1">
      <alignment horizontal="right" vertical="center"/>
    </xf>
    <xf numFmtId="8" fontId="2" fillId="5" borderId="0" xfId="1" applyNumberFormat="1" applyFont="1" applyFill="1" applyAlignment="1">
      <alignment vertical="center"/>
    </xf>
    <xf numFmtId="44" fontId="0" fillId="5" borderId="0" xfId="1" applyFont="1" applyFill="1" applyAlignment="1">
      <alignment vertical="center"/>
    </xf>
    <xf numFmtId="44" fontId="2" fillId="5" borderId="0" xfId="1" applyFont="1" applyFill="1" applyAlignment="1">
      <alignment vertical="center"/>
    </xf>
    <xf numFmtId="16" fontId="0" fillId="5" borderId="1" xfId="0" applyNumberFormat="1" applyFill="1" applyBorder="1" applyAlignment="1">
      <alignment horizontal="left"/>
    </xf>
    <xf numFmtId="0" fontId="4" fillId="2" borderId="31" xfId="0" applyFont="1" applyFill="1" applyBorder="1" applyAlignment="1">
      <alignment horizontal="left"/>
    </xf>
    <xf numFmtId="0" fontId="0" fillId="5" borderId="31" xfId="0" applyFill="1" applyBorder="1"/>
    <xf numFmtId="44" fontId="0" fillId="5" borderId="24" xfId="1" applyFont="1" applyFill="1" applyBorder="1" applyAlignment="1">
      <alignment horizontal="right"/>
    </xf>
    <xf numFmtId="0" fontId="7" fillId="5" borderId="20" xfId="0" applyFont="1" applyFill="1" applyBorder="1"/>
    <xf numFmtId="8" fontId="10" fillId="5" borderId="1" xfId="0" applyNumberFormat="1" applyFont="1" applyFill="1" applyBorder="1"/>
    <xf numFmtId="0" fontId="7" fillId="5" borderId="1" xfId="0" applyFont="1" applyFill="1" applyBorder="1" applyAlignment="1">
      <alignment horizontal="left"/>
    </xf>
    <xf numFmtId="0" fontId="4" fillId="2" borderId="1" xfId="0" applyFont="1" applyFill="1" applyBorder="1" applyAlignment="1">
      <alignment horizontal="right" wrapText="1"/>
    </xf>
    <xf numFmtId="0" fontId="4" fillId="2" borderId="30" xfId="0" applyFont="1" applyFill="1" applyBorder="1" applyAlignment="1">
      <alignment horizontal="center"/>
    </xf>
    <xf numFmtId="14" fontId="0" fillId="5" borderId="1" xfId="0" applyNumberFormat="1" applyFill="1" applyBorder="1" applyAlignment="1">
      <alignment vertical="center"/>
    </xf>
    <xf numFmtId="0" fontId="2" fillId="5" borderId="31" xfId="0" applyFont="1" applyFill="1" applyBorder="1" applyAlignment="1">
      <alignment horizontal="left" vertical="center" wrapText="1"/>
    </xf>
    <xf numFmtId="0" fontId="0" fillId="5" borderId="16" xfId="0" applyFill="1" applyBorder="1" applyAlignment="1">
      <alignment vertical="center"/>
    </xf>
    <xf numFmtId="14" fontId="0" fillId="5" borderId="20" xfId="0" applyNumberFormat="1" applyFill="1" applyBorder="1" applyAlignment="1">
      <alignment vertical="center"/>
    </xf>
    <xf numFmtId="0" fontId="0" fillId="5" borderId="20" xfId="0" applyFill="1" applyBorder="1"/>
    <xf numFmtId="0" fontId="0" fillId="5" borderId="0" xfId="0" applyFill="1" applyAlignment="1">
      <alignment wrapText="1"/>
    </xf>
    <xf numFmtId="44" fontId="0" fillId="5" borderId="1" xfId="1" applyFont="1" applyFill="1" applyBorder="1" applyAlignment="1">
      <alignment horizontal="center" vertical="center"/>
    </xf>
    <xf numFmtId="44" fontId="3" fillId="5" borderId="0" xfId="1" applyFont="1" applyFill="1" applyAlignment="1">
      <alignment vertical="center"/>
    </xf>
    <xf numFmtId="0" fontId="7" fillId="5" borderId="1" xfId="0" applyFont="1" applyFill="1" applyBorder="1" applyAlignment="1">
      <alignment horizontal="center"/>
    </xf>
    <xf numFmtId="44" fontId="0" fillId="5" borderId="22" xfId="1" applyFont="1" applyFill="1" applyBorder="1"/>
    <xf numFmtId="8" fontId="9" fillId="5" borderId="1" xfId="0" applyNumberFormat="1" applyFont="1" applyFill="1" applyBorder="1" applyAlignment="1">
      <alignment horizontal="center"/>
    </xf>
    <xf numFmtId="0" fontId="7" fillId="5" borderId="1" xfId="0" applyFont="1" applyFill="1" applyBorder="1" applyAlignment="1">
      <alignment horizontal="left" vertical="center"/>
    </xf>
    <xf numFmtId="0" fontId="4" fillId="2" borderId="1" xfId="0" applyFont="1" applyFill="1" applyBorder="1" applyAlignment="1">
      <alignment horizontal="center" vertical="center"/>
    </xf>
    <xf numFmtId="0" fontId="4" fillId="2" borderId="31" xfId="0" applyFont="1" applyFill="1" applyBorder="1" applyAlignment="1">
      <alignment horizontal="center" vertical="center"/>
    </xf>
    <xf numFmtId="0" fontId="0" fillId="5" borderId="0" xfId="0" applyFill="1" applyAlignment="1">
      <alignment horizontal="center" wrapText="1"/>
    </xf>
    <xf numFmtId="0" fontId="7" fillId="5" borderId="4" xfId="0" applyFont="1" applyFill="1" applyBorder="1" applyAlignment="1">
      <alignment horizontal="center" vertical="center" wrapText="1"/>
    </xf>
    <xf numFmtId="0" fontId="4" fillId="2" borderId="1" xfId="0" applyFont="1" applyFill="1" applyBorder="1" applyAlignment="1">
      <alignment horizontal="left"/>
    </xf>
    <xf numFmtId="0" fontId="7" fillId="5" borderId="1" xfId="0" applyFont="1" applyFill="1" applyBorder="1" applyAlignment="1">
      <alignment horizontal="center" vertical="center"/>
    </xf>
    <xf numFmtId="0" fontId="7" fillId="5" borderId="0" xfId="0" applyFont="1" applyFill="1"/>
    <xf numFmtId="0" fontId="8" fillId="4" borderId="1" xfId="0" applyFont="1" applyFill="1" applyBorder="1"/>
    <xf numFmtId="0" fontId="0" fillId="5" borderId="0" xfId="0" applyFill="1" applyAlignment="1">
      <alignment horizontal="left"/>
    </xf>
    <xf numFmtId="0" fontId="4" fillId="2" borderId="16" xfId="0" applyFont="1" applyFill="1" applyBorder="1" applyAlignment="1">
      <alignment vertical="center"/>
    </xf>
    <xf numFmtId="0" fontId="0" fillId="5" borderId="16" xfId="0" applyFill="1" applyBorder="1"/>
    <xf numFmtId="0" fontId="7" fillId="5" borderId="24" xfId="0" applyFont="1" applyFill="1" applyBorder="1" applyAlignment="1">
      <alignment horizontal="center"/>
    </xf>
    <xf numFmtId="0" fontId="5" fillId="3" borderId="1" xfId="0" applyFont="1" applyFill="1" applyBorder="1" applyAlignment="1">
      <alignment vertical="center"/>
    </xf>
    <xf numFmtId="0" fontId="7" fillId="5" borderId="0" xfId="0" applyFont="1" applyFill="1" applyAlignment="1">
      <alignment horizontal="center"/>
    </xf>
    <xf numFmtId="8" fontId="9" fillId="5" borderId="0" xfId="0" applyNumberFormat="1" applyFont="1" applyFill="1" applyAlignment="1">
      <alignment horizontal="center"/>
    </xf>
    <xf numFmtId="0" fontId="2" fillId="5" borderId="0" xfId="0" applyFont="1" applyFill="1" applyAlignment="1">
      <alignment horizontal="center" wrapText="1"/>
    </xf>
    <xf numFmtId="0" fontId="0" fillId="5" borderId="25" xfId="0" applyFill="1" applyBorder="1" applyAlignment="1">
      <alignment horizontal="center" vertical="center" wrapText="1"/>
    </xf>
    <xf numFmtId="0" fontId="2" fillId="5" borderId="26" xfId="0" applyFont="1" applyFill="1" applyBorder="1" applyAlignment="1">
      <alignment horizontal="center" wrapText="1"/>
    </xf>
    <xf numFmtId="0" fontId="2" fillId="5" borderId="58" xfId="0" applyFont="1" applyFill="1" applyBorder="1" applyAlignment="1">
      <alignment wrapText="1"/>
    </xf>
    <xf numFmtId="0" fontId="7" fillId="5" borderId="1" xfId="0" applyFont="1" applyFill="1" applyBorder="1" applyAlignment="1">
      <alignment vertical="center"/>
    </xf>
    <xf numFmtId="8" fontId="9" fillId="5" borderId="57" xfId="0" applyNumberFormat="1" applyFont="1" applyFill="1" applyBorder="1"/>
    <xf numFmtId="0" fontId="0" fillId="5" borderId="30" xfId="0" applyFill="1" applyBorder="1" applyAlignment="1">
      <alignment horizontal="center" vertical="center" wrapText="1"/>
    </xf>
    <xf numFmtId="14" fontId="7" fillId="5" borderId="1" xfId="0" applyNumberFormat="1" applyFont="1" applyFill="1" applyBorder="1"/>
    <xf numFmtId="0" fontId="0" fillId="5" borderId="1" xfId="0" applyFill="1" applyBorder="1" applyAlignment="1">
      <alignment horizontal="center" vertical="center"/>
    </xf>
    <xf numFmtId="14" fontId="0" fillId="0" borderId="5" xfId="0" applyNumberFormat="1" applyBorder="1" applyAlignment="1">
      <alignment horizontal="left" vertical="center"/>
    </xf>
    <xf numFmtId="0" fontId="7" fillId="0" borderId="1" xfId="0" applyFont="1" applyBorder="1" applyAlignment="1">
      <alignment horizontal="center"/>
    </xf>
    <xf numFmtId="8" fontId="9" fillId="0" borderId="1" xfId="0" applyNumberFormat="1" applyFont="1" applyBorder="1" applyAlignment="1">
      <alignment horizontal="center"/>
    </xf>
    <xf numFmtId="44" fontId="0" fillId="0" borderId="1" xfId="1" applyFont="1" applyFill="1" applyBorder="1" applyAlignment="1">
      <alignment horizontal="center"/>
    </xf>
    <xf numFmtId="8" fontId="2" fillId="0" borderId="1" xfId="1" applyNumberFormat="1" applyFont="1" applyFill="1" applyBorder="1" applyAlignment="1">
      <alignment horizontal="center"/>
    </xf>
    <xf numFmtId="0" fontId="0" fillId="0" borderId="1" xfId="0" applyBorder="1" applyAlignment="1">
      <alignment horizontal="center"/>
    </xf>
    <xf numFmtId="0" fontId="0" fillId="0" borderId="1" xfId="0" applyBorder="1"/>
    <xf numFmtId="8" fontId="9" fillId="0" borderId="1" xfId="0" applyNumberFormat="1" applyFont="1" applyBorder="1"/>
    <xf numFmtId="44" fontId="0" fillId="0" borderId="1" xfId="1" applyFont="1" applyFill="1" applyBorder="1"/>
    <xf numFmtId="8" fontId="2" fillId="0" borderId="1" xfId="1" applyNumberFormat="1" applyFont="1" applyFill="1" applyBorder="1"/>
    <xf numFmtId="0" fontId="0" fillId="0" borderId="1" xfId="0" applyBorder="1" applyAlignment="1">
      <alignment horizontal="left"/>
    </xf>
    <xf numFmtId="14" fontId="0" fillId="0" borderId="5" xfId="0" applyNumberFormat="1" applyBorder="1" applyAlignment="1">
      <alignment vertical="center"/>
    </xf>
    <xf numFmtId="0" fontId="0" fillId="0" borderId="31" xfId="0" applyBorder="1"/>
    <xf numFmtId="8" fontId="13" fillId="0" borderId="1" xfId="0" applyNumberFormat="1" applyFont="1" applyBorder="1"/>
    <xf numFmtId="8" fontId="13" fillId="0" borderId="1" xfId="0" applyNumberFormat="1" applyFont="1" applyBorder="1" applyAlignment="1">
      <alignment horizontal="right"/>
    </xf>
    <xf numFmtId="44" fontId="0" fillId="0" borderId="1" xfId="1" applyFont="1" applyBorder="1"/>
    <xf numFmtId="44" fontId="0" fillId="0" borderId="1" xfId="1" applyFont="1" applyBorder="1" applyAlignment="1">
      <alignment horizontal="right"/>
    </xf>
    <xf numFmtId="8" fontId="2" fillId="0" borderId="1" xfId="1" applyNumberFormat="1" applyFont="1" applyBorder="1"/>
    <xf numFmtId="0" fontId="0" fillId="0" borderId="0" xfId="0" applyAlignment="1">
      <alignment horizontal="center" vertical="center" wrapText="1"/>
    </xf>
    <xf numFmtId="0" fontId="0" fillId="0" borderId="5" xfId="0" applyBorder="1"/>
    <xf numFmtId="8" fontId="9" fillId="0" borderId="0" xfId="0" applyNumberFormat="1" applyFont="1"/>
    <xf numFmtId="44" fontId="0" fillId="0" borderId="0" xfId="1" applyFont="1" applyBorder="1"/>
    <xf numFmtId="44" fontId="0" fillId="0" borderId="0" xfId="1" applyFont="1" applyBorder="1" applyAlignment="1">
      <alignment horizontal="right"/>
    </xf>
    <xf numFmtId="8" fontId="2" fillId="0" borderId="0" xfId="1" applyNumberFormat="1" applyFont="1" applyBorder="1"/>
    <xf numFmtId="0" fontId="0" fillId="0" borderId="0" xfId="0" applyAlignment="1">
      <alignment horizontal="left"/>
    </xf>
    <xf numFmtId="14" fontId="0" fillId="0" borderId="0" xfId="0" applyNumberFormat="1" applyAlignment="1">
      <alignment vertical="center"/>
    </xf>
    <xf numFmtId="0" fontId="2" fillId="0" borderId="0" xfId="0" applyFont="1" applyAlignment="1">
      <alignment horizontal="center" vertical="center" wrapText="1"/>
    </xf>
    <xf numFmtId="0" fontId="0" fillId="0" borderId="0" xfId="0" applyAlignment="1">
      <alignment horizontal="center" vertical="center"/>
    </xf>
    <xf numFmtId="164" fontId="0" fillId="0" borderId="1" xfId="1" applyNumberFormat="1" applyFont="1" applyBorder="1"/>
    <xf numFmtId="164" fontId="0" fillId="0" borderId="1" xfId="1" applyNumberFormat="1" applyFont="1" applyBorder="1" applyAlignment="1">
      <alignment horizontal="right"/>
    </xf>
    <xf numFmtId="0" fontId="0" fillId="0" borderId="65" xfId="0" applyBorder="1"/>
    <xf numFmtId="8" fontId="9" fillId="0" borderId="65" xfId="0" applyNumberFormat="1" applyFont="1" applyBorder="1"/>
    <xf numFmtId="44" fontId="0" fillId="0" borderId="65" xfId="1" applyFont="1" applyBorder="1"/>
    <xf numFmtId="44" fontId="0" fillId="0" borderId="65" xfId="1" applyFont="1" applyBorder="1" applyAlignment="1">
      <alignment horizontal="right"/>
    </xf>
    <xf numFmtId="8" fontId="2" fillId="0" borderId="65" xfId="1" applyNumberFormat="1" applyFont="1" applyBorder="1"/>
    <xf numFmtId="0" fontId="0" fillId="0" borderId="65" xfId="0" applyBorder="1" applyAlignment="1">
      <alignment horizontal="left"/>
    </xf>
    <xf numFmtId="14" fontId="0" fillId="0" borderId="65" xfId="0" applyNumberFormat="1" applyBorder="1" applyAlignment="1">
      <alignment vertical="center"/>
    </xf>
    <xf numFmtId="0" fontId="2" fillId="0" borderId="65" xfId="0" applyFont="1" applyBorder="1" applyAlignment="1">
      <alignment horizontal="center" vertical="center" wrapText="1"/>
    </xf>
    <xf numFmtId="0" fontId="0" fillId="0" borderId="66" xfId="0" applyBorder="1"/>
    <xf numFmtId="0" fontId="2" fillId="5" borderId="1" xfId="0" applyFont="1" applyFill="1" applyBorder="1" applyAlignment="1">
      <alignment wrapText="1"/>
    </xf>
    <xf numFmtId="0" fontId="4" fillId="2" borderId="5" xfId="0" applyFont="1" applyFill="1" applyBorder="1" applyAlignment="1">
      <alignment horizontal="left"/>
    </xf>
    <xf numFmtId="0" fontId="0" fillId="0" borderId="67" xfId="0" applyBorder="1"/>
    <xf numFmtId="8" fontId="2" fillId="0" borderId="1" xfId="1" applyNumberFormat="1" applyFont="1" applyBorder="1" applyAlignment="1">
      <alignment horizontal="center"/>
    </xf>
    <xf numFmtId="8" fontId="13" fillId="0" borderId="24" xfId="0" applyNumberFormat="1" applyFont="1" applyBorder="1"/>
    <xf numFmtId="8" fontId="13" fillId="0" borderId="24" xfId="0" applyNumberFormat="1" applyFont="1" applyBorder="1" applyAlignment="1">
      <alignment horizontal="right"/>
    </xf>
    <xf numFmtId="8" fontId="2" fillId="0" borderId="24" xfId="1" applyNumberFormat="1" applyFont="1" applyFill="1" applyBorder="1"/>
    <xf numFmtId="44" fontId="0" fillId="0" borderId="24" xfId="1" applyFont="1" applyFill="1" applyBorder="1"/>
    <xf numFmtId="0" fontId="0" fillId="0" borderId="24" xfId="0" applyBorder="1" applyAlignment="1">
      <alignment horizontal="left"/>
    </xf>
    <xf numFmtId="44" fontId="0" fillId="5" borderId="5" xfId="1" applyFont="1" applyFill="1" applyBorder="1" applyAlignment="1">
      <alignment horizontal="center"/>
    </xf>
    <xf numFmtId="44" fontId="0" fillId="0" borderId="5" xfId="1" applyFont="1" applyBorder="1" applyAlignment="1">
      <alignment horizontal="center"/>
    </xf>
    <xf numFmtId="0" fontId="4" fillId="2" borderId="2" xfId="0" applyFont="1" applyFill="1" applyBorder="1" applyAlignment="1">
      <alignment horizontal="center" vertical="center" wrapText="1"/>
    </xf>
    <xf numFmtId="16" fontId="0" fillId="5" borderId="1" xfId="0" applyNumberFormat="1" applyFill="1" applyBorder="1" applyAlignment="1">
      <alignment horizontal="center"/>
    </xf>
    <xf numFmtId="0" fontId="0" fillId="0" borderId="16" xfId="0" applyBorder="1"/>
    <xf numFmtId="14" fontId="0" fillId="5" borderId="5" xfId="0" applyNumberFormat="1" applyFill="1" applyBorder="1" applyAlignment="1">
      <alignment horizontal="right" vertical="center"/>
    </xf>
    <xf numFmtId="0" fontId="7" fillId="6" borderId="1" xfId="0" applyFont="1" applyFill="1" applyBorder="1" applyAlignment="1">
      <alignment horizontal="center"/>
    </xf>
    <xf numFmtId="44" fontId="15" fillId="6" borderId="1" xfId="1" applyFont="1" applyFill="1" applyBorder="1" applyAlignment="1">
      <alignment horizontal="center"/>
    </xf>
    <xf numFmtId="0" fontId="15" fillId="0" borderId="1" xfId="0" applyFont="1" applyBorder="1" applyAlignment="1">
      <alignment horizontal="center"/>
    </xf>
    <xf numFmtId="0" fontId="15" fillId="6" borderId="1" xfId="0" applyFont="1" applyFill="1" applyBorder="1" applyAlignment="1">
      <alignment horizontal="center"/>
    </xf>
    <xf numFmtId="14" fontId="15" fillId="0" borderId="1" xfId="0" applyNumberFormat="1" applyFont="1" applyBorder="1" applyAlignment="1">
      <alignment horizontal="left" vertical="center"/>
    </xf>
    <xf numFmtId="0" fontId="0" fillId="5" borderId="33" xfId="0" applyFill="1" applyBorder="1"/>
    <xf numFmtId="0" fontId="4" fillId="2" borderId="10" xfId="0" applyFont="1" applyFill="1" applyBorder="1" applyAlignment="1">
      <alignment horizontal="right"/>
    </xf>
    <xf numFmtId="43" fontId="0" fillId="5" borderId="1" xfId="2" applyFont="1" applyFill="1" applyBorder="1"/>
    <xf numFmtId="0" fontId="6" fillId="3" borderId="45" xfId="0" applyFont="1" applyFill="1" applyBorder="1" applyAlignment="1">
      <alignment vertical="center"/>
    </xf>
    <xf numFmtId="0" fontId="6" fillId="3" borderId="46" xfId="0" applyFont="1" applyFill="1" applyBorder="1" applyAlignment="1">
      <alignment vertical="center"/>
    </xf>
    <xf numFmtId="0" fontId="4" fillId="2" borderId="1" xfId="0" applyFont="1" applyFill="1" applyBorder="1" applyAlignment="1">
      <alignment vertical="center"/>
    </xf>
    <xf numFmtId="0" fontId="7" fillId="5" borderId="1" xfId="0" applyFont="1" applyFill="1" applyBorder="1" applyAlignment="1">
      <alignment horizontal="center" vertical="center" wrapText="1"/>
    </xf>
    <xf numFmtId="44" fontId="15" fillId="5" borderId="1" xfId="1" applyFont="1" applyFill="1" applyBorder="1" applyAlignment="1">
      <alignment horizontal="center"/>
    </xf>
    <xf numFmtId="0" fontId="15" fillId="5" borderId="1" xfId="0" applyFont="1" applyFill="1" applyBorder="1" applyAlignment="1">
      <alignment horizontal="center"/>
    </xf>
    <xf numFmtId="8" fontId="9" fillId="0" borderId="24" xfId="0" applyNumberFormat="1" applyFont="1" applyBorder="1" applyAlignment="1">
      <alignment horizontal="center"/>
    </xf>
    <xf numFmtId="44" fontId="15" fillId="0" borderId="1" xfId="1" applyFont="1" applyBorder="1" applyAlignment="1">
      <alignment horizontal="center"/>
    </xf>
    <xf numFmtId="8" fontId="10" fillId="0" borderId="1" xfId="1" applyNumberFormat="1" applyFont="1" applyBorder="1" applyAlignment="1">
      <alignment horizontal="center"/>
    </xf>
    <xf numFmtId="44" fontId="15" fillId="0" borderId="5" xfId="1" applyFont="1" applyBorder="1" applyAlignment="1">
      <alignment horizontal="center"/>
    </xf>
    <xf numFmtId="44" fontId="0" fillId="0" borderId="1" xfId="1" applyFont="1" applyBorder="1" applyAlignment="1">
      <alignment horizontal="center"/>
    </xf>
    <xf numFmtId="44" fontId="0" fillId="0" borderId="24" xfId="1" applyFont="1" applyBorder="1" applyAlignment="1">
      <alignment horizontal="center"/>
    </xf>
    <xf numFmtId="8" fontId="2" fillId="0" borderId="24" xfId="1" applyNumberFormat="1" applyFont="1" applyBorder="1" applyAlignment="1">
      <alignment horizontal="center"/>
    </xf>
    <xf numFmtId="44" fontId="0" fillId="5" borderId="0" xfId="1" applyFont="1" applyFill="1" applyAlignment="1">
      <alignment horizontal="center"/>
    </xf>
    <xf numFmtId="8" fontId="2" fillId="5" borderId="0" xfId="1" applyNumberFormat="1" applyFont="1" applyFill="1" applyAlignment="1">
      <alignment horizontal="center"/>
    </xf>
    <xf numFmtId="0" fontId="0" fillId="0" borderId="69" xfId="0" applyBorder="1" applyAlignment="1">
      <alignment horizontal="center"/>
    </xf>
    <xf numFmtId="0" fontId="0" fillId="0" borderId="70" xfId="0" applyBorder="1" applyAlignment="1">
      <alignment horizontal="center"/>
    </xf>
    <xf numFmtId="0" fontId="7" fillId="0" borderId="2" xfId="0" applyFont="1" applyBorder="1" applyAlignment="1">
      <alignment horizontal="center"/>
    </xf>
    <xf numFmtId="44" fontId="0" fillId="0" borderId="2" xfId="1" applyFont="1" applyBorder="1" applyAlignment="1">
      <alignment horizontal="center"/>
    </xf>
    <xf numFmtId="8" fontId="2" fillId="0" borderId="2" xfId="1" applyNumberFormat="1" applyFont="1" applyBorder="1" applyAlignment="1">
      <alignment horizontal="center"/>
    </xf>
    <xf numFmtId="0" fontId="0" fillId="0" borderId="2" xfId="0" applyBorder="1" applyAlignment="1">
      <alignment horizontal="center"/>
    </xf>
    <xf numFmtId="0" fontId="0" fillId="0" borderId="30" xfId="0" applyBorder="1" applyAlignment="1">
      <alignment horizontal="center" vertical="center" wrapText="1"/>
    </xf>
    <xf numFmtId="0" fontId="0" fillId="0" borderId="1" xfId="0" applyBorder="1" applyAlignment="1">
      <alignment horizontal="center" vertical="center"/>
    </xf>
    <xf numFmtId="0" fontId="2" fillId="0" borderId="2" xfId="0" applyFont="1" applyBorder="1" applyAlignment="1">
      <alignment horizontal="center" vertical="center" wrapText="1"/>
    </xf>
    <xf numFmtId="44" fontId="2" fillId="0" borderId="1" xfId="1" applyFont="1" applyBorder="1"/>
    <xf numFmtId="14" fontId="0" fillId="5" borderId="5" xfId="0" applyNumberFormat="1" applyFill="1" applyBorder="1" applyAlignment="1">
      <alignment horizontal="left" vertical="center"/>
    </xf>
    <xf numFmtId="14" fontId="0" fillId="5" borderId="1" xfId="0" applyNumberFormat="1" applyFill="1" applyBorder="1" applyAlignment="1">
      <alignment horizontal="right" vertical="center"/>
    </xf>
    <xf numFmtId="0" fontId="13" fillId="6" borderId="1" xfId="0" applyFont="1" applyFill="1" applyBorder="1" applyAlignment="1">
      <alignment horizontal="left"/>
    </xf>
    <xf numFmtId="0" fontId="0" fillId="5" borderId="1" xfId="0" applyFill="1" applyBorder="1" applyAlignment="1">
      <alignment horizontal="left" vertical="center" wrapText="1"/>
    </xf>
    <xf numFmtId="44" fontId="2" fillId="5" borderId="1" xfId="1" applyFont="1" applyFill="1" applyBorder="1" applyAlignment="1">
      <alignment horizontal="right"/>
    </xf>
    <xf numFmtId="14" fontId="15" fillId="0" borderId="24" xfId="0" applyNumberFormat="1" applyFont="1" applyBorder="1" applyAlignment="1">
      <alignment horizontal="left" vertical="center"/>
    </xf>
    <xf numFmtId="0" fontId="7" fillId="7" borderId="1" xfId="0" applyFont="1" applyFill="1" applyBorder="1" applyAlignment="1">
      <alignment horizontal="center"/>
    </xf>
    <xf numFmtId="8" fontId="9" fillId="7" borderId="1" xfId="0" applyNumberFormat="1" applyFont="1" applyFill="1" applyBorder="1" applyAlignment="1">
      <alignment horizontal="center"/>
    </xf>
    <xf numFmtId="44" fontId="15" fillId="7" borderId="1" xfId="1" applyFont="1" applyFill="1" applyBorder="1" applyAlignment="1">
      <alignment horizontal="center"/>
    </xf>
    <xf numFmtId="8" fontId="2" fillId="7" borderId="1" xfId="1" applyNumberFormat="1" applyFont="1" applyFill="1" applyBorder="1" applyAlignment="1">
      <alignment horizontal="center"/>
    </xf>
    <xf numFmtId="44" fontId="0" fillId="7" borderId="5" xfId="1" applyFont="1" applyFill="1" applyBorder="1" applyAlignment="1">
      <alignment horizontal="center"/>
    </xf>
    <xf numFmtId="0" fontId="0" fillId="7" borderId="1" xfId="0" applyFill="1" applyBorder="1" applyAlignment="1">
      <alignment horizontal="center"/>
    </xf>
    <xf numFmtId="14" fontId="15" fillId="7" borderId="1" xfId="0" applyNumberFormat="1" applyFont="1" applyFill="1" applyBorder="1" applyAlignment="1">
      <alignment horizontal="left" vertical="center"/>
    </xf>
    <xf numFmtId="0" fontId="5" fillId="3" borderId="34" xfId="0" applyFont="1" applyFill="1" applyBorder="1" applyAlignment="1">
      <alignment horizontal="center" vertical="center"/>
    </xf>
    <xf numFmtId="0" fontId="5" fillId="3" borderId="35" xfId="0" applyFont="1" applyFill="1" applyBorder="1" applyAlignment="1">
      <alignment horizontal="center" vertical="center"/>
    </xf>
    <xf numFmtId="0" fontId="4" fillId="2" borderId="1" xfId="0" applyFont="1" applyFill="1" applyBorder="1" applyAlignment="1">
      <alignment horizontal="center" vertical="center"/>
    </xf>
    <xf numFmtId="0" fontId="0" fillId="5" borderId="30" xfId="0" applyFill="1" applyBorder="1" applyAlignment="1">
      <alignment horizontal="center" vertical="center" wrapText="1"/>
    </xf>
    <xf numFmtId="0" fontId="7" fillId="5" borderId="1" xfId="0" applyFont="1" applyFill="1" applyBorder="1" applyAlignment="1">
      <alignment horizontal="center" vertical="center"/>
    </xf>
    <xf numFmtId="0" fontId="0" fillId="5" borderId="11" xfId="0" applyFill="1" applyBorder="1" applyAlignment="1">
      <alignment horizontal="left" wrapText="1"/>
    </xf>
    <xf numFmtId="0" fontId="0" fillId="5" borderId="0" xfId="0" applyFill="1" applyAlignment="1">
      <alignment horizontal="left" wrapText="1"/>
    </xf>
    <xf numFmtId="0" fontId="0" fillId="5" borderId="12" xfId="0" applyFill="1" applyBorder="1" applyAlignment="1">
      <alignment horizontal="left" wrapText="1"/>
    </xf>
    <xf numFmtId="0" fontId="0" fillId="5" borderId="7" xfId="0" applyFill="1" applyBorder="1" applyAlignment="1">
      <alignment horizontal="left" wrapText="1"/>
    </xf>
    <xf numFmtId="0" fontId="0" fillId="5" borderId="13" xfId="0" applyFill="1" applyBorder="1" applyAlignment="1">
      <alignment horizontal="left" wrapText="1"/>
    </xf>
    <xf numFmtId="0" fontId="0" fillId="5" borderId="14" xfId="0" applyFill="1" applyBorder="1" applyAlignment="1">
      <alignment horizontal="left" wrapText="1"/>
    </xf>
    <xf numFmtId="0" fontId="6" fillId="3" borderId="21" xfId="0" applyFont="1" applyFill="1" applyBorder="1" applyAlignment="1">
      <alignment horizontal="center" vertical="center"/>
    </xf>
    <xf numFmtId="0" fontId="6" fillId="3" borderId="22" xfId="0" applyFont="1" applyFill="1" applyBorder="1" applyAlignment="1">
      <alignment horizontal="center" vertical="center"/>
    </xf>
    <xf numFmtId="0" fontId="6" fillId="3" borderId="23" xfId="0" applyFont="1" applyFill="1" applyBorder="1" applyAlignment="1">
      <alignment horizontal="center" vertical="center"/>
    </xf>
    <xf numFmtId="0" fontId="0" fillId="5" borderId="25" xfId="0" applyFill="1" applyBorder="1" applyAlignment="1">
      <alignment horizontal="center" wrapText="1"/>
    </xf>
    <xf numFmtId="0" fontId="0" fillId="5" borderId="0" xfId="0" applyFill="1" applyAlignment="1">
      <alignment horizontal="center" wrapText="1"/>
    </xf>
    <xf numFmtId="0" fontId="0" fillId="5" borderId="26" xfId="0" applyFill="1" applyBorder="1" applyAlignment="1">
      <alignment horizontal="center" wrapText="1"/>
    </xf>
    <xf numFmtId="0" fontId="0" fillId="5" borderId="27" xfId="0" applyFill="1" applyBorder="1" applyAlignment="1">
      <alignment horizontal="center" wrapText="1"/>
    </xf>
    <xf numFmtId="0" fontId="0" fillId="5" borderId="28" xfId="0" applyFill="1" applyBorder="1" applyAlignment="1">
      <alignment horizontal="center" wrapText="1"/>
    </xf>
    <xf numFmtId="0" fontId="0" fillId="5" borderId="29" xfId="0" applyFill="1" applyBorder="1" applyAlignment="1">
      <alignment horizontal="center" wrapText="1"/>
    </xf>
    <xf numFmtId="0" fontId="5" fillId="3" borderId="1" xfId="0" applyFont="1" applyFill="1" applyBorder="1" applyAlignment="1">
      <alignment horizontal="center" vertical="center"/>
    </xf>
    <xf numFmtId="0" fontId="0" fillId="5" borderId="1" xfId="0" applyFill="1" applyBorder="1" applyAlignment="1">
      <alignment horizontal="center" vertical="center"/>
    </xf>
    <xf numFmtId="0" fontId="2" fillId="5" borderId="1" xfId="0" applyFont="1" applyFill="1" applyBorder="1" applyAlignment="1">
      <alignment horizontal="center" vertical="center" wrapText="1"/>
    </xf>
    <xf numFmtId="0" fontId="5" fillId="3" borderId="36"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16" xfId="0" applyFont="1" applyFill="1" applyBorder="1" applyAlignment="1">
      <alignment horizontal="center" vertical="center"/>
    </xf>
    <xf numFmtId="0" fontId="4" fillId="2" borderId="38" xfId="0" applyFont="1" applyFill="1" applyBorder="1" applyAlignment="1">
      <alignment horizontal="center" vertical="center"/>
    </xf>
    <xf numFmtId="0" fontId="0" fillId="5" borderId="39" xfId="0" applyFill="1" applyBorder="1" applyAlignment="1">
      <alignment horizontal="center" vertical="center" wrapText="1"/>
    </xf>
    <xf numFmtId="0" fontId="0" fillId="5" borderId="64" xfId="0" applyFill="1" applyBorder="1" applyAlignment="1">
      <alignment horizontal="center" vertical="center" wrapText="1"/>
    </xf>
    <xf numFmtId="0" fontId="7" fillId="5" borderId="2" xfId="0" applyFont="1" applyFill="1" applyBorder="1" applyAlignment="1">
      <alignment horizontal="center" vertical="center"/>
    </xf>
    <xf numFmtId="0" fontId="7" fillId="5" borderId="57" xfId="0" applyFont="1" applyFill="1" applyBorder="1" applyAlignment="1">
      <alignment horizontal="center" vertical="center"/>
    </xf>
    <xf numFmtId="0" fontId="2" fillId="0" borderId="1" xfId="0" applyFont="1" applyBorder="1" applyAlignment="1">
      <alignment horizontal="center" vertical="center"/>
    </xf>
    <xf numFmtId="0" fontId="2" fillId="0" borderId="31" xfId="0" applyFont="1" applyBorder="1" applyAlignment="1">
      <alignment horizontal="center" vertical="center"/>
    </xf>
    <xf numFmtId="0" fontId="2" fillId="0" borderId="24" xfId="0" applyFont="1" applyBorder="1" applyAlignment="1">
      <alignment horizontal="center" vertical="center"/>
    </xf>
    <xf numFmtId="0" fontId="2" fillId="0" borderId="33" xfId="0" applyFont="1" applyBorder="1" applyAlignment="1">
      <alignment horizontal="center" vertical="center"/>
    </xf>
    <xf numFmtId="0" fontId="5" fillId="3" borderId="13" xfId="0" applyFont="1" applyFill="1" applyBorder="1" applyAlignment="1">
      <alignment horizontal="center" vertical="center"/>
    </xf>
    <xf numFmtId="0" fontId="0" fillId="0" borderId="39" xfId="0" applyBorder="1" applyAlignment="1">
      <alignment horizontal="center" vertical="center" wrapText="1"/>
    </xf>
    <xf numFmtId="0" fontId="0" fillId="0" borderId="72" xfId="0" applyBorder="1" applyAlignment="1">
      <alignment horizontal="center" vertical="center" wrapText="1"/>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2" fillId="0" borderId="2" xfId="0" applyFont="1" applyBorder="1" applyAlignment="1">
      <alignment horizontal="center" vertical="center"/>
    </xf>
    <xf numFmtId="0" fontId="5" fillId="3" borderId="37" xfId="0" applyFont="1" applyFill="1" applyBorder="1" applyAlignment="1">
      <alignment horizontal="center" vertical="center"/>
    </xf>
    <xf numFmtId="0" fontId="5" fillId="3" borderId="20" xfId="0" applyFont="1" applyFill="1" applyBorder="1" applyAlignment="1">
      <alignment horizontal="center" vertical="center"/>
    </xf>
    <xf numFmtId="0" fontId="5" fillId="3" borderId="38" xfId="0" applyFont="1" applyFill="1" applyBorder="1" applyAlignment="1">
      <alignment horizontal="center" vertical="center"/>
    </xf>
    <xf numFmtId="0" fontId="2" fillId="5" borderId="1" xfId="0" applyFont="1" applyFill="1" applyBorder="1" applyAlignment="1">
      <alignment horizontal="center" wrapText="1"/>
    </xf>
    <xf numFmtId="0" fontId="0" fillId="0" borderId="54" xfId="0" applyBorder="1" applyAlignment="1">
      <alignment horizontal="center" vertical="center" wrapText="1"/>
    </xf>
    <xf numFmtId="0" fontId="7" fillId="0" borderId="4" xfId="0" applyFont="1" applyBorder="1" applyAlignment="1">
      <alignment horizontal="center" vertical="center"/>
    </xf>
    <xf numFmtId="0" fontId="2" fillId="0" borderId="1" xfId="0" applyFont="1" applyBorder="1" applyAlignment="1">
      <alignment horizontal="center" vertical="center" wrapText="1"/>
    </xf>
    <xf numFmtId="0" fontId="15" fillId="0" borderId="30" xfId="0" applyFont="1" applyBorder="1" applyAlignment="1">
      <alignment horizontal="center" vertical="center" wrapText="1"/>
    </xf>
    <xf numFmtId="0" fontId="7" fillId="0" borderId="1" xfId="0" applyFont="1" applyBorder="1" applyAlignment="1">
      <alignment horizontal="center" vertical="center"/>
    </xf>
    <xf numFmtId="0" fontId="5" fillId="3" borderId="53" xfId="0" applyFont="1" applyFill="1" applyBorder="1" applyAlignment="1">
      <alignment horizontal="center" vertical="center"/>
    </xf>
    <xf numFmtId="0" fontId="15" fillId="0" borderId="39" xfId="0" applyFont="1" applyBorder="1" applyAlignment="1">
      <alignment horizontal="center" vertical="center" wrapText="1"/>
    </xf>
    <xf numFmtId="0" fontId="15" fillId="0" borderId="54" xfId="0" applyFont="1" applyBorder="1" applyAlignment="1">
      <alignment horizontal="center" vertical="center" wrapText="1"/>
    </xf>
    <xf numFmtId="0" fontId="15" fillId="6" borderId="30" xfId="0" applyFont="1" applyFill="1" applyBorder="1" applyAlignment="1">
      <alignment horizontal="center" vertical="center" wrapText="1"/>
    </xf>
    <xf numFmtId="0" fontId="7" fillId="6" borderId="2" xfId="0" applyFont="1" applyFill="1" applyBorder="1" applyAlignment="1">
      <alignment horizontal="center" vertical="center"/>
    </xf>
    <xf numFmtId="0" fontId="7" fillId="6" borderId="4" xfId="0" applyFont="1" applyFill="1" applyBorder="1" applyAlignment="1">
      <alignment horizontal="center" vertical="center"/>
    </xf>
    <xf numFmtId="0" fontId="10" fillId="6" borderId="1" xfId="0" applyFont="1" applyFill="1" applyBorder="1" applyAlignment="1">
      <alignment horizontal="center" wrapText="1"/>
    </xf>
    <xf numFmtId="0" fontId="15" fillId="5" borderId="39" xfId="0" applyFont="1" applyFill="1" applyBorder="1" applyAlignment="1">
      <alignment horizontal="center" vertical="center" wrapText="1"/>
    </xf>
    <xf numFmtId="0" fontId="15" fillId="5" borderId="54" xfId="0" applyFont="1" applyFill="1" applyBorder="1" applyAlignment="1">
      <alignment horizontal="center" vertical="center" wrapText="1"/>
    </xf>
    <xf numFmtId="0" fontId="7" fillId="5" borderId="4" xfId="0" applyFont="1" applyFill="1" applyBorder="1" applyAlignment="1">
      <alignment horizontal="center" vertical="center"/>
    </xf>
    <xf numFmtId="0" fontId="15" fillId="5" borderId="30" xfId="0" applyFont="1" applyFill="1" applyBorder="1" applyAlignment="1">
      <alignment horizontal="center" vertical="center" wrapText="1"/>
    </xf>
    <xf numFmtId="0" fontId="2" fillId="5" borderId="8" xfId="0" applyFont="1" applyFill="1" applyBorder="1" applyAlignment="1">
      <alignment horizontal="center" wrapText="1"/>
    </xf>
    <xf numFmtId="0" fontId="2" fillId="5" borderId="10" xfId="0" applyFont="1" applyFill="1" applyBorder="1" applyAlignment="1">
      <alignment horizontal="center" wrapText="1"/>
    </xf>
    <xf numFmtId="0" fontId="2" fillId="5" borderId="7" xfId="0" applyFont="1" applyFill="1" applyBorder="1" applyAlignment="1">
      <alignment horizontal="center" wrapText="1"/>
    </xf>
    <xf numFmtId="0" fontId="2" fillId="5" borderId="14" xfId="0" applyFont="1" applyFill="1" applyBorder="1" applyAlignment="1">
      <alignment horizontal="center" wrapText="1"/>
    </xf>
    <xf numFmtId="0" fontId="4" fillId="2" borderId="2" xfId="0" applyFont="1" applyFill="1" applyBorder="1" applyAlignment="1">
      <alignment horizontal="center" vertical="center"/>
    </xf>
    <xf numFmtId="0" fontId="4" fillId="2" borderId="55" xfId="0" applyFont="1" applyFill="1" applyBorder="1" applyAlignment="1">
      <alignment horizontal="center" vertical="center"/>
    </xf>
    <xf numFmtId="0" fontId="15" fillId="7" borderId="30" xfId="0" applyFont="1" applyFill="1" applyBorder="1" applyAlignment="1">
      <alignment horizontal="center" vertical="center" wrapText="1"/>
    </xf>
    <xf numFmtId="0" fontId="7" fillId="7" borderId="1" xfId="0" applyFont="1" applyFill="1" applyBorder="1" applyAlignment="1">
      <alignment horizontal="center" vertical="center"/>
    </xf>
    <xf numFmtId="0" fontId="2" fillId="7" borderId="1" xfId="0" applyFont="1" applyFill="1" applyBorder="1" applyAlignment="1">
      <alignment horizontal="center" vertical="center" wrapText="1"/>
    </xf>
    <xf numFmtId="0" fontId="5" fillId="3" borderId="42" xfId="0" applyFont="1" applyFill="1" applyBorder="1" applyAlignment="1">
      <alignment horizontal="center" vertical="center"/>
    </xf>
    <xf numFmtId="0" fontId="0" fillId="5" borderId="40" xfId="0" applyFill="1" applyBorder="1" applyAlignment="1">
      <alignment horizontal="center" vertical="center"/>
    </xf>
    <xf numFmtId="0" fontId="0" fillId="5" borderId="41" xfId="0" applyFill="1" applyBorder="1" applyAlignment="1">
      <alignment horizontal="center" vertical="center"/>
    </xf>
    <xf numFmtId="0" fontId="0" fillId="5" borderId="2" xfId="0" applyFill="1" applyBorder="1" applyAlignment="1">
      <alignment horizontal="center" vertical="center"/>
    </xf>
    <xf numFmtId="0" fontId="0" fillId="5" borderId="4" xfId="0" applyFill="1" applyBorder="1" applyAlignment="1">
      <alignment horizontal="center" vertical="center"/>
    </xf>
    <xf numFmtId="0" fontId="5" fillId="3" borderId="5" xfId="0" applyFont="1" applyFill="1" applyBorder="1" applyAlignment="1">
      <alignment horizontal="center" vertical="center"/>
    </xf>
    <xf numFmtId="0" fontId="7" fillId="5" borderId="1" xfId="0" applyFont="1" applyFill="1" applyBorder="1" applyAlignment="1">
      <alignment horizontal="center" vertical="center" wrapText="1"/>
    </xf>
    <xf numFmtId="0" fontId="2" fillId="5" borderId="8" xfId="0" applyFont="1" applyFill="1" applyBorder="1" applyAlignment="1">
      <alignment horizontal="center" vertical="center" wrapText="1"/>
    </xf>
    <xf numFmtId="0" fontId="2" fillId="5" borderId="10" xfId="0" applyFont="1" applyFill="1" applyBorder="1" applyAlignment="1">
      <alignment horizontal="center" vertical="center" wrapText="1"/>
    </xf>
    <xf numFmtId="0" fontId="2" fillId="5" borderId="7" xfId="0" applyFont="1" applyFill="1" applyBorder="1" applyAlignment="1">
      <alignment horizontal="center" vertical="center" wrapText="1"/>
    </xf>
    <xf numFmtId="0" fontId="2" fillId="5" borderId="14" xfId="0" applyFont="1" applyFill="1" applyBorder="1" applyAlignment="1">
      <alignment horizontal="center" vertical="center" wrapText="1"/>
    </xf>
    <xf numFmtId="0" fontId="0" fillId="5" borderId="3" xfId="0" applyFill="1" applyBorder="1" applyAlignment="1">
      <alignment horizontal="center" vertical="center"/>
    </xf>
    <xf numFmtId="0" fontId="0" fillId="5" borderId="1" xfId="0" applyFill="1" applyBorder="1" applyAlignment="1">
      <alignment horizontal="center" wrapText="1"/>
    </xf>
    <xf numFmtId="0" fontId="0" fillId="5" borderId="30" xfId="0" applyFill="1" applyBorder="1" applyAlignment="1">
      <alignment horizontal="center" vertical="center"/>
    </xf>
    <xf numFmtId="0" fontId="6" fillId="3" borderId="18" xfId="0" applyFont="1" applyFill="1" applyBorder="1" applyAlignment="1">
      <alignment horizontal="center" vertical="center"/>
    </xf>
    <xf numFmtId="0" fontId="6" fillId="3" borderId="43" xfId="0" applyFont="1" applyFill="1" applyBorder="1" applyAlignment="1">
      <alignment horizontal="center" vertical="center"/>
    </xf>
    <xf numFmtId="0" fontId="6" fillId="3" borderId="44" xfId="0" applyFont="1" applyFill="1" applyBorder="1" applyAlignment="1">
      <alignment horizontal="center" vertical="center"/>
    </xf>
    <xf numFmtId="0" fontId="0" fillId="5" borderId="45" xfId="0" applyFill="1" applyBorder="1" applyAlignment="1">
      <alignment horizontal="center" wrapText="1"/>
    </xf>
    <xf numFmtId="0" fontId="0" fillId="5" borderId="46" xfId="0" applyFill="1" applyBorder="1" applyAlignment="1">
      <alignment horizontal="center" wrapText="1"/>
    </xf>
    <xf numFmtId="0" fontId="0" fillId="5" borderId="47" xfId="0" applyFill="1" applyBorder="1" applyAlignment="1">
      <alignment horizontal="center" wrapText="1"/>
    </xf>
    <xf numFmtId="0" fontId="0" fillId="5" borderId="48" xfId="0" applyFill="1" applyBorder="1" applyAlignment="1">
      <alignment horizontal="center" wrapText="1"/>
    </xf>
    <xf numFmtId="0" fontId="0" fillId="5" borderId="49" xfId="0" applyFill="1" applyBorder="1" applyAlignment="1">
      <alignment horizontal="center" wrapText="1"/>
    </xf>
    <xf numFmtId="0" fontId="0" fillId="5" borderId="50" xfId="0" applyFill="1" applyBorder="1" applyAlignment="1">
      <alignment horizontal="center" wrapText="1"/>
    </xf>
    <xf numFmtId="0" fontId="0" fillId="5" borderId="51" xfId="0" applyFill="1" applyBorder="1" applyAlignment="1">
      <alignment horizontal="center" wrapText="1"/>
    </xf>
    <xf numFmtId="0" fontId="0" fillId="5" borderId="52" xfId="0" applyFill="1" applyBorder="1" applyAlignment="1">
      <alignment horizontal="center" wrapText="1"/>
    </xf>
    <xf numFmtId="0" fontId="0" fillId="5" borderId="32" xfId="0" applyFill="1" applyBorder="1" applyAlignment="1">
      <alignment horizontal="center" vertical="center"/>
    </xf>
    <xf numFmtId="0" fontId="0" fillId="5" borderId="24" xfId="0" applyFill="1" applyBorder="1" applyAlignment="1">
      <alignment horizontal="center" vertical="center"/>
    </xf>
    <xf numFmtId="0" fontId="16" fillId="3" borderId="34" xfId="0" applyFont="1" applyFill="1" applyBorder="1" applyAlignment="1">
      <alignment horizontal="center" vertical="center"/>
    </xf>
    <xf numFmtId="0" fontId="4" fillId="2" borderId="1" xfId="0" applyFont="1" applyFill="1" applyBorder="1" applyAlignment="1">
      <alignment horizontal="left"/>
    </xf>
    <xf numFmtId="0" fontId="0" fillId="5" borderId="2" xfId="0" applyFill="1" applyBorder="1" applyAlignment="1">
      <alignment horizontal="center" vertical="center" wrapText="1"/>
    </xf>
    <xf numFmtId="0" fontId="0" fillId="5" borderId="4" xfId="0" applyFill="1" applyBorder="1" applyAlignment="1">
      <alignment horizontal="center" vertical="center" wrapText="1"/>
    </xf>
    <xf numFmtId="0" fontId="0" fillId="5" borderId="68" xfId="0" applyFill="1" applyBorder="1" applyAlignment="1">
      <alignment horizontal="center" vertical="center"/>
    </xf>
    <xf numFmtId="0" fontId="0" fillId="5" borderId="54" xfId="0" applyFill="1" applyBorder="1" applyAlignment="1">
      <alignment horizontal="center" vertical="center" wrapText="1"/>
    </xf>
    <xf numFmtId="0" fontId="2" fillId="5" borderId="2" xfId="0" applyFont="1" applyFill="1" applyBorder="1" applyAlignment="1">
      <alignment horizontal="center" wrapText="1"/>
    </xf>
    <xf numFmtId="0" fontId="2" fillId="5" borderId="24" xfId="0" applyFont="1" applyFill="1" applyBorder="1" applyAlignment="1">
      <alignment horizontal="center" wrapText="1"/>
    </xf>
    <xf numFmtId="0" fontId="5" fillId="3" borderId="25" xfId="0" applyFont="1" applyFill="1" applyBorder="1" applyAlignment="1">
      <alignment horizontal="center" vertical="center"/>
    </xf>
    <xf numFmtId="0" fontId="2" fillId="5" borderId="5" xfId="0" applyFont="1" applyFill="1" applyBorder="1" applyAlignment="1">
      <alignment horizontal="center" vertical="center" wrapText="1"/>
    </xf>
    <xf numFmtId="0" fontId="2" fillId="5" borderId="20" xfId="0" applyFont="1" applyFill="1" applyBorder="1" applyAlignment="1">
      <alignment horizontal="center" vertical="center" wrapText="1"/>
    </xf>
    <xf numFmtId="0" fontId="2" fillId="5" borderId="16" xfId="0" applyFont="1" applyFill="1" applyBorder="1" applyAlignment="1">
      <alignment horizontal="center" vertical="center" wrapText="1"/>
    </xf>
    <xf numFmtId="0" fontId="2" fillId="5" borderId="9" xfId="0" applyFont="1" applyFill="1" applyBorder="1" applyAlignment="1">
      <alignment horizontal="center" vertical="center" wrapText="1"/>
    </xf>
    <xf numFmtId="0" fontId="2" fillId="5" borderId="11" xfId="0" applyFont="1" applyFill="1" applyBorder="1" applyAlignment="1">
      <alignment horizontal="center" vertical="center" wrapText="1"/>
    </xf>
    <xf numFmtId="0" fontId="2" fillId="5" borderId="0" xfId="0" applyFont="1" applyFill="1" applyAlignment="1">
      <alignment horizontal="center" vertical="center" wrapText="1"/>
    </xf>
    <xf numFmtId="0" fontId="2" fillId="5" borderId="12" xfId="0" applyFont="1" applyFill="1" applyBorder="1" applyAlignment="1">
      <alignment horizontal="center" vertical="center" wrapText="1"/>
    </xf>
    <xf numFmtId="0" fontId="16" fillId="3" borderId="42" xfId="0" applyFont="1" applyFill="1" applyBorder="1" applyAlignment="1">
      <alignment horizontal="center" vertical="center"/>
    </xf>
    <xf numFmtId="0" fontId="16" fillId="3" borderId="13" xfId="0" applyFont="1" applyFill="1" applyBorder="1" applyAlignment="1">
      <alignment horizontal="center" vertical="center"/>
    </xf>
    <xf numFmtId="0" fontId="7" fillId="5" borderId="0" xfId="0" applyFont="1" applyFill="1"/>
    <xf numFmtId="0" fontId="8" fillId="4" borderId="20" xfId="0" applyFont="1" applyFill="1" applyBorder="1"/>
    <xf numFmtId="0" fontId="8" fillId="4" borderId="19" xfId="0" applyFont="1" applyFill="1" applyBorder="1"/>
    <xf numFmtId="0" fontId="7" fillId="5" borderId="3" xfId="0" applyFont="1" applyFill="1" applyBorder="1"/>
    <xf numFmtId="0" fontId="7" fillId="5" borderId="15" xfId="0" applyFont="1" applyFill="1" applyBorder="1"/>
    <xf numFmtId="0" fontId="11" fillId="3" borderId="13" xfId="0" applyFont="1" applyFill="1" applyBorder="1" applyAlignment="1">
      <alignment horizontal="center"/>
    </xf>
    <xf numFmtId="0" fontId="11" fillId="3" borderId="5" xfId="0" applyFont="1" applyFill="1" applyBorder="1" applyAlignment="1">
      <alignment horizontal="center"/>
    </xf>
    <xf numFmtId="0" fontId="11" fillId="3" borderId="20" xfId="0" applyFont="1" applyFill="1" applyBorder="1" applyAlignment="1">
      <alignment horizontal="center"/>
    </xf>
    <xf numFmtId="0" fontId="11" fillId="3" borderId="16" xfId="0" applyFont="1" applyFill="1" applyBorder="1" applyAlignment="1">
      <alignment horizontal="center"/>
    </xf>
    <xf numFmtId="0" fontId="6" fillId="3" borderId="18" xfId="0" applyFont="1" applyFill="1" applyBorder="1" applyAlignment="1">
      <alignment horizontal="left" vertical="center"/>
    </xf>
    <xf numFmtId="0" fontId="6" fillId="3" borderId="43" xfId="0" applyFont="1" applyFill="1" applyBorder="1" applyAlignment="1">
      <alignment horizontal="left" vertical="center"/>
    </xf>
    <xf numFmtId="0" fontId="6" fillId="3" borderId="44" xfId="0" applyFont="1" applyFill="1" applyBorder="1" applyAlignment="1">
      <alignment horizontal="left" vertical="center"/>
    </xf>
    <xf numFmtId="0" fontId="8" fillId="4" borderId="1" xfId="0" applyFont="1" applyFill="1" applyBorder="1"/>
    <xf numFmtId="0" fontId="7" fillId="5" borderId="1" xfId="0" applyFont="1" applyFill="1" applyBorder="1" applyAlignment="1">
      <alignment vertical="center"/>
    </xf>
    <xf numFmtId="0" fontId="11" fillId="3" borderId="34" xfId="0" applyFont="1" applyFill="1" applyBorder="1" applyAlignment="1">
      <alignment horizontal="center"/>
    </xf>
    <xf numFmtId="0" fontId="11" fillId="3" borderId="35" xfId="0" applyFont="1" applyFill="1" applyBorder="1" applyAlignment="1">
      <alignment horizontal="center"/>
    </xf>
    <xf numFmtId="0" fontId="11" fillId="3" borderId="36" xfId="0" applyFont="1" applyFill="1" applyBorder="1" applyAlignment="1">
      <alignment horizontal="center"/>
    </xf>
    <xf numFmtId="0" fontId="7" fillId="5" borderId="1" xfId="0" applyFont="1" applyFill="1" applyBorder="1" applyAlignment="1">
      <alignment wrapText="1"/>
    </xf>
    <xf numFmtId="0" fontId="7" fillId="5" borderId="1" xfId="0" applyFont="1" applyFill="1" applyBorder="1"/>
    <xf numFmtId="0" fontId="7" fillId="5" borderId="1" xfId="0" applyFont="1" applyFill="1" applyBorder="1" applyAlignment="1">
      <alignment horizontal="center" wrapText="1"/>
    </xf>
    <xf numFmtId="0" fontId="11" fillId="3" borderId="37" xfId="0" applyFont="1" applyFill="1" applyBorder="1" applyAlignment="1">
      <alignment horizontal="center"/>
    </xf>
    <xf numFmtId="0" fontId="11" fillId="3" borderId="38" xfId="0" applyFont="1" applyFill="1" applyBorder="1" applyAlignment="1">
      <alignment horizontal="center"/>
    </xf>
    <xf numFmtId="0" fontId="7" fillId="5" borderId="30" xfId="0" applyFont="1" applyFill="1" applyBorder="1" applyAlignment="1">
      <alignment horizontal="center" vertical="center"/>
    </xf>
    <xf numFmtId="0" fontId="2" fillId="0" borderId="55" xfId="0" applyFont="1" applyBorder="1" applyAlignment="1">
      <alignment horizontal="center" vertical="center" wrapText="1"/>
    </xf>
    <xf numFmtId="0" fontId="2" fillId="0" borderId="56" xfId="0" applyFont="1" applyBorder="1" applyAlignment="1">
      <alignment horizontal="center" vertical="center" wrapText="1"/>
    </xf>
    <xf numFmtId="0" fontId="2" fillId="5" borderId="55" xfId="0" applyFont="1" applyFill="1" applyBorder="1" applyAlignment="1">
      <alignment horizontal="center" vertical="center" wrapText="1"/>
    </xf>
    <xf numFmtId="0" fontId="2" fillId="5" borderId="56" xfId="0" applyFont="1" applyFill="1" applyBorder="1" applyAlignment="1">
      <alignment horizontal="center" vertical="center" wrapText="1"/>
    </xf>
    <xf numFmtId="0" fontId="2" fillId="5" borderId="59" xfId="0" applyFont="1" applyFill="1" applyBorder="1" applyAlignment="1">
      <alignment horizontal="center" vertical="center" wrapText="1"/>
    </xf>
    <xf numFmtId="0" fontId="2" fillId="5" borderId="60" xfId="0" applyFont="1" applyFill="1" applyBorder="1" applyAlignment="1">
      <alignment horizontal="center" vertical="center" wrapText="1"/>
    </xf>
    <xf numFmtId="0" fontId="7" fillId="5" borderId="24" xfId="0" applyFont="1" applyFill="1" applyBorder="1" applyAlignment="1">
      <alignment vertical="center"/>
    </xf>
    <xf numFmtId="0" fontId="0" fillId="5" borderId="32" xfId="0" applyFill="1" applyBorder="1" applyAlignment="1">
      <alignment horizontal="center" vertical="center" wrapText="1"/>
    </xf>
    <xf numFmtId="0" fontId="4" fillId="2" borderId="11" xfId="0" applyFont="1" applyFill="1" applyBorder="1" applyAlignment="1">
      <alignment horizontal="center" vertical="center"/>
    </xf>
    <xf numFmtId="0" fontId="4" fillId="2" borderId="0" xfId="0" applyFont="1" applyFill="1" applyAlignment="1">
      <alignment horizontal="center" vertical="center"/>
    </xf>
    <xf numFmtId="0" fontId="5" fillId="3" borderId="0" xfId="0" applyFont="1" applyFill="1" applyAlignment="1">
      <alignment horizontal="center" vertical="center"/>
    </xf>
    <xf numFmtId="0" fontId="5" fillId="3" borderId="71" xfId="0" applyFont="1" applyFill="1" applyBorder="1" applyAlignment="1">
      <alignment horizontal="center" vertical="center"/>
    </xf>
    <xf numFmtId="0" fontId="5" fillId="3" borderId="9" xfId="0" applyFont="1" applyFill="1" applyBorder="1" applyAlignment="1">
      <alignment horizontal="center" vertical="center"/>
    </xf>
    <xf numFmtId="0" fontId="0" fillId="0" borderId="30" xfId="0" applyBorder="1" applyAlignment="1">
      <alignment horizontal="center" vertical="center" wrapText="1"/>
    </xf>
    <xf numFmtId="0" fontId="2" fillId="0" borderId="8" xfId="0" applyFont="1" applyBorder="1" applyAlignment="1">
      <alignment horizontal="center" vertical="center"/>
    </xf>
    <xf numFmtId="0" fontId="2" fillId="0" borderId="61" xfId="0" applyFont="1" applyBorder="1" applyAlignment="1">
      <alignment horizontal="center" vertical="center"/>
    </xf>
    <xf numFmtId="0" fontId="2" fillId="0" borderId="62" xfId="0" applyFont="1" applyBorder="1" applyAlignment="1">
      <alignment horizontal="center" vertical="center"/>
    </xf>
    <xf numFmtId="0" fontId="2" fillId="0" borderId="29" xfId="0" applyFont="1" applyBorder="1" applyAlignment="1">
      <alignment horizontal="center" vertical="center"/>
    </xf>
    <xf numFmtId="0" fontId="2" fillId="0" borderId="63" xfId="0" applyFont="1" applyBorder="1" applyAlignment="1">
      <alignment horizontal="center" vertical="center" wrapText="1"/>
    </xf>
    <xf numFmtId="0" fontId="2" fillId="0" borderId="23" xfId="0" applyFont="1" applyBorder="1" applyAlignment="1">
      <alignment horizontal="center" vertical="center"/>
    </xf>
    <xf numFmtId="0" fontId="4" fillId="2" borderId="31" xfId="0" applyFont="1" applyFill="1" applyBorder="1" applyAlignment="1">
      <alignment horizontal="center" vertical="center"/>
    </xf>
  </cellXfs>
  <cellStyles count="3">
    <cellStyle name="Comma" xfId="2" builtinId="3"/>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72391</xdr:colOff>
      <xdr:row>1</xdr:row>
      <xdr:rowOff>11430</xdr:rowOff>
    </xdr:from>
    <xdr:ext cx="2423159" cy="836413"/>
    <xdr:pic>
      <xdr:nvPicPr>
        <xdr:cNvPr id="2" name="Picture 1" descr="A blue and black logo&#10;&#10;Description automatically generated">
          <a:extLst>
            <a:ext uri="{FF2B5EF4-FFF2-40B4-BE49-F238E27FC236}">
              <a16:creationId xmlns:a16="http://schemas.microsoft.com/office/drawing/2014/main" id="{B061CCCA-25D4-4813-A2F0-DF4F42944EB8}"/>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97231" y="194310"/>
          <a:ext cx="2423159" cy="836413"/>
        </a:xfrm>
        <a:prstGeom prst="rect">
          <a:avLst/>
        </a:prstGeom>
        <a:noFill/>
        <a:ln>
          <a:noFill/>
        </a:ln>
      </xdr:spPr>
    </xdr:pic>
    <xdr:clientData/>
  </xdr:oneCellAnchor>
  <xdr:oneCellAnchor>
    <xdr:from>
      <xdr:col>1</xdr:col>
      <xdr:colOff>53341</xdr:colOff>
      <xdr:row>28</xdr:row>
      <xdr:rowOff>84666</xdr:rowOff>
    </xdr:from>
    <xdr:ext cx="2629426" cy="875123"/>
    <xdr:pic>
      <xdr:nvPicPr>
        <xdr:cNvPr id="3" name="Picture 2" descr="A blue and black logo&#10;&#10;Description automatically generated">
          <a:extLst>
            <a:ext uri="{FF2B5EF4-FFF2-40B4-BE49-F238E27FC236}">
              <a16:creationId xmlns:a16="http://schemas.microsoft.com/office/drawing/2014/main" id="{4F87830F-42A1-42E3-9E3A-C578D37D9F52}"/>
            </a:ext>
            <a:ext uri="{147F2762-F138-4A5C-976F-8EAC2B608ADB}">
              <a16:predDERef xmlns:a16="http://schemas.microsoft.com/office/drawing/2014/main" pred="{BB0742A5-9C7E-9D40-820B-6FD456CFC96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78181" y="5586306"/>
          <a:ext cx="2629426" cy="875123"/>
        </a:xfrm>
        <a:prstGeom prst="rect">
          <a:avLst/>
        </a:prstGeom>
        <a:noFill/>
        <a:ln>
          <a:noFill/>
        </a:ln>
      </xdr:spPr>
    </xdr:pic>
    <xdr:clientData/>
  </xdr:oneCellAnchor>
  <xdr:oneCellAnchor>
    <xdr:from>
      <xdr:col>1</xdr:col>
      <xdr:colOff>171249</xdr:colOff>
      <xdr:row>47</xdr:row>
      <xdr:rowOff>133124</xdr:rowOff>
    </xdr:from>
    <xdr:ext cx="2217965" cy="961860"/>
    <xdr:pic>
      <xdr:nvPicPr>
        <xdr:cNvPr id="4" name="Picture 4" descr="A blue and black logo&#10;&#10;Description automatically generated">
          <a:extLst>
            <a:ext uri="{FF2B5EF4-FFF2-40B4-BE49-F238E27FC236}">
              <a16:creationId xmlns:a16="http://schemas.microsoft.com/office/drawing/2014/main" id="{6DD5D4AF-DB5F-4FAE-B524-C186CD5A9687}"/>
            </a:ext>
            <a:ext uri="{147F2762-F138-4A5C-976F-8EAC2B608ADB}">
              <a16:predDERef xmlns:a16="http://schemas.microsoft.com/office/drawing/2014/main" pred="{56419546-1F6D-914F-8632-ACD32BA805AB}"/>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796089" y="9696224"/>
          <a:ext cx="2217965" cy="961860"/>
        </a:xfrm>
        <a:prstGeom prst="rect">
          <a:avLst/>
        </a:prstGeom>
        <a:noFill/>
        <a:ln>
          <a:noFill/>
        </a:ln>
      </xdr:spPr>
    </xdr:pic>
    <xdr:clientData/>
  </xdr:oneCellAnchor>
  <xdr:oneCellAnchor>
    <xdr:from>
      <xdr:col>1</xdr:col>
      <xdr:colOff>15241</xdr:colOff>
      <xdr:row>117</xdr:row>
      <xdr:rowOff>57150</xdr:rowOff>
    </xdr:from>
    <xdr:ext cx="2785320" cy="995987"/>
    <xdr:pic>
      <xdr:nvPicPr>
        <xdr:cNvPr id="5" name="Picture 2" descr="A blue and black logo&#10;&#10;Description automatically generated">
          <a:extLst>
            <a:ext uri="{FF2B5EF4-FFF2-40B4-BE49-F238E27FC236}">
              <a16:creationId xmlns:a16="http://schemas.microsoft.com/office/drawing/2014/main" id="{A4F90DCF-9420-43F9-BAE4-86DC2B0E077B}"/>
            </a:ext>
            <a:ext uri="{147F2762-F138-4A5C-976F-8EAC2B608ADB}">
              <a16:predDERef xmlns:a16="http://schemas.microsoft.com/office/drawing/2014/main" pred="{92C2B642-3A1F-EC49-A2EF-570454B23DD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40081" y="25843230"/>
          <a:ext cx="2785320" cy="995987"/>
        </a:xfrm>
        <a:prstGeom prst="rect">
          <a:avLst/>
        </a:prstGeom>
        <a:noFill/>
        <a:ln>
          <a:noFill/>
        </a:ln>
      </xdr:spPr>
    </xdr:pic>
    <xdr:clientData/>
  </xdr:oneCellAnchor>
  <xdr:oneCellAnchor>
    <xdr:from>
      <xdr:col>1</xdr:col>
      <xdr:colOff>0</xdr:colOff>
      <xdr:row>135</xdr:row>
      <xdr:rowOff>0</xdr:rowOff>
    </xdr:from>
    <xdr:ext cx="2339340" cy="770854"/>
    <xdr:pic>
      <xdr:nvPicPr>
        <xdr:cNvPr id="6" name="Picture 5" descr="A blue and black logo&#10;&#10;Description automatically generated">
          <a:extLst>
            <a:ext uri="{FF2B5EF4-FFF2-40B4-BE49-F238E27FC236}">
              <a16:creationId xmlns:a16="http://schemas.microsoft.com/office/drawing/2014/main" id="{B366A825-57EF-4169-ADA1-C76B4B1F0DE8}"/>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24840" y="29276040"/>
          <a:ext cx="2339340" cy="770854"/>
        </a:xfrm>
        <a:prstGeom prst="rect">
          <a:avLst/>
        </a:prstGeom>
        <a:noFill/>
        <a:ln>
          <a:noFill/>
        </a:ln>
      </xdr:spPr>
    </xdr:pic>
    <xdr:clientData/>
  </xdr:oneCellAnchor>
  <xdr:oneCellAnchor>
    <xdr:from>
      <xdr:col>1</xdr:col>
      <xdr:colOff>0</xdr:colOff>
      <xdr:row>161</xdr:row>
      <xdr:rowOff>0</xdr:rowOff>
    </xdr:from>
    <xdr:ext cx="2339340" cy="770854"/>
    <xdr:pic>
      <xdr:nvPicPr>
        <xdr:cNvPr id="7" name="Picture 6" descr="A blue and black logo&#10;&#10;Description automatically generated">
          <a:extLst>
            <a:ext uri="{FF2B5EF4-FFF2-40B4-BE49-F238E27FC236}">
              <a16:creationId xmlns:a16="http://schemas.microsoft.com/office/drawing/2014/main" id="{2AAF662D-668F-4B55-AE1C-7500F0F3C090}"/>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28460700"/>
          <a:ext cx="2339340" cy="770854"/>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19050</xdr:colOff>
      <xdr:row>1</xdr:row>
      <xdr:rowOff>104775</xdr:rowOff>
    </xdr:from>
    <xdr:ext cx="2485178" cy="1056414"/>
    <xdr:pic>
      <xdr:nvPicPr>
        <xdr:cNvPr id="2" name="Picture 1" descr="A blue and black logo&#10;&#10;Description automatically generated">
          <a:extLst>
            <a:ext uri="{FF2B5EF4-FFF2-40B4-BE49-F238E27FC236}">
              <a16:creationId xmlns:a16="http://schemas.microsoft.com/office/drawing/2014/main" id="{FDEC6A58-30A5-48E9-99EC-15BFFBEA1A75}"/>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28650" y="287655"/>
          <a:ext cx="2485178" cy="1056414"/>
        </a:xfrm>
        <a:prstGeom prst="rect">
          <a:avLst/>
        </a:prstGeom>
        <a:noFill/>
        <a:ln>
          <a:noFill/>
        </a:ln>
      </xdr:spPr>
    </xdr:pic>
    <xdr:clientData/>
  </xdr:oneCellAnchor>
  <xdr:oneCellAnchor>
    <xdr:from>
      <xdr:col>1</xdr:col>
      <xdr:colOff>9525</xdr:colOff>
      <xdr:row>26</xdr:row>
      <xdr:rowOff>28575</xdr:rowOff>
    </xdr:from>
    <xdr:ext cx="2494703" cy="1019924"/>
    <xdr:pic>
      <xdr:nvPicPr>
        <xdr:cNvPr id="3" name="Picture 2" descr="A blue and black logo&#10;&#10;Description automatically generated">
          <a:extLst>
            <a:ext uri="{FF2B5EF4-FFF2-40B4-BE49-F238E27FC236}">
              <a16:creationId xmlns:a16="http://schemas.microsoft.com/office/drawing/2014/main" id="{576CA7A8-52DA-476A-BB01-0F0272E8B9C9}"/>
            </a:ext>
            <a:ext uri="{147F2762-F138-4A5C-976F-8EAC2B608ADB}">
              <a16:predDERef xmlns:a16="http://schemas.microsoft.com/office/drawing/2014/main" pred="{778003F7-3D65-A04F-ABB2-105AA25C398F}"/>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19125" y="5347335"/>
          <a:ext cx="2494703" cy="1019924"/>
        </a:xfrm>
        <a:prstGeom prst="rect">
          <a:avLst/>
        </a:prstGeom>
        <a:noFill/>
        <a:ln>
          <a:noFill/>
        </a:ln>
      </xdr:spPr>
    </xdr:pic>
    <xdr:clientData/>
  </xdr:oneCellAnchor>
  <xdr:oneCellAnchor>
    <xdr:from>
      <xdr:col>1</xdr:col>
      <xdr:colOff>0</xdr:colOff>
      <xdr:row>47</xdr:row>
      <xdr:rowOff>114300</xdr:rowOff>
    </xdr:from>
    <xdr:ext cx="2500418" cy="1011013"/>
    <xdr:pic>
      <xdr:nvPicPr>
        <xdr:cNvPr id="4" name="Picture 3" descr="A blue and black logo&#10;&#10;Description automatically generated">
          <a:extLst>
            <a:ext uri="{FF2B5EF4-FFF2-40B4-BE49-F238E27FC236}">
              <a16:creationId xmlns:a16="http://schemas.microsoft.com/office/drawing/2014/main" id="{08565982-52F0-4DAF-9455-F3FB1144D70F}"/>
            </a:ext>
            <a:ext uri="{147F2762-F138-4A5C-976F-8EAC2B608ADB}">
              <a16:predDERef xmlns:a16="http://schemas.microsoft.com/office/drawing/2014/main" pred="{F6F789C2-F073-8845-A5E4-18D7CCFBBBC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9654540"/>
          <a:ext cx="2500418" cy="1011013"/>
        </a:xfrm>
        <a:prstGeom prst="rect">
          <a:avLst/>
        </a:prstGeom>
        <a:noFill/>
        <a:ln>
          <a:noFill/>
        </a:ln>
      </xdr:spPr>
    </xdr:pic>
    <xdr:clientData/>
  </xdr:oneCellAnchor>
  <xdr:oneCellAnchor>
    <xdr:from>
      <xdr:col>0</xdr:col>
      <xdr:colOff>485775</xdr:colOff>
      <xdr:row>86</xdr:row>
      <xdr:rowOff>57150</xdr:rowOff>
    </xdr:from>
    <xdr:ext cx="2414663" cy="1050229"/>
    <xdr:pic>
      <xdr:nvPicPr>
        <xdr:cNvPr id="5" name="Picture 4" descr="A blue and black logo&#10;&#10;Description automatically generated">
          <a:extLst>
            <a:ext uri="{FF2B5EF4-FFF2-40B4-BE49-F238E27FC236}">
              <a16:creationId xmlns:a16="http://schemas.microsoft.com/office/drawing/2014/main" id="{F5FA367D-E905-4FFF-BA79-8DF87CE06F79}"/>
            </a:ext>
            <a:ext uri="{147F2762-F138-4A5C-976F-8EAC2B608ADB}">
              <a16:predDERef xmlns:a16="http://schemas.microsoft.com/office/drawing/2014/main" pred="{0F5660A6-DEFF-1945-98FB-E532B661C3C6}"/>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85775" y="20242530"/>
          <a:ext cx="2414663" cy="1050229"/>
        </a:xfrm>
        <a:prstGeom prst="rect">
          <a:avLst/>
        </a:prstGeom>
        <a:noFill/>
        <a:ln>
          <a:noFill/>
        </a:ln>
      </xdr:spPr>
    </xdr:pic>
    <xdr:clientData/>
  </xdr:oneCellAnchor>
  <xdr:oneCellAnchor>
    <xdr:from>
      <xdr:col>1</xdr:col>
      <xdr:colOff>21166</xdr:colOff>
      <xdr:row>106</xdr:row>
      <xdr:rowOff>42334</xdr:rowOff>
    </xdr:from>
    <xdr:ext cx="2480490" cy="1063562"/>
    <xdr:pic>
      <xdr:nvPicPr>
        <xdr:cNvPr id="6" name="Picture 5" descr="A blue and black logo&#10;&#10;Description automatically generated">
          <a:extLst>
            <a:ext uri="{FF2B5EF4-FFF2-40B4-BE49-F238E27FC236}">
              <a16:creationId xmlns:a16="http://schemas.microsoft.com/office/drawing/2014/main" id="{1E6A5870-9674-4DEE-AB3C-2867F7E9733B}"/>
            </a:ext>
            <a:ext uri="{147F2762-F138-4A5C-976F-8EAC2B608ADB}">
              <a16:predDERef xmlns:a16="http://schemas.microsoft.com/office/drawing/2014/main" pred="{AA759F80-9E91-6547-8C71-0FF09EA96E8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30766" y="24449194"/>
          <a:ext cx="2480490" cy="1063562"/>
        </a:xfrm>
        <a:prstGeom prst="rect">
          <a:avLst/>
        </a:prstGeom>
        <a:noFill/>
        <a:ln>
          <a:noFill/>
        </a:ln>
      </xdr:spPr>
    </xdr:pic>
    <xdr:clientData/>
  </xdr:oneCellAnchor>
  <xdr:oneCellAnchor>
    <xdr:from>
      <xdr:col>1</xdr:col>
      <xdr:colOff>0</xdr:colOff>
      <xdr:row>120</xdr:row>
      <xdr:rowOff>22633</xdr:rowOff>
    </xdr:from>
    <xdr:ext cx="2480490" cy="1063562"/>
    <xdr:pic>
      <xdr:nvPicPr>
        <xdr:cNvPr id="8" name="Picture 7" descr="A blue and black logo&#10;&#10;Description automatically generated">
          <a:extLst>
            <a:ext uri="{FF2B5EF4-FFF2-40B4-BE49-F238E27FC236}">
              <a16:creationId xmlns:a16="http://schemas.microsoft.com/office/drawing/2014/main" id="{022A74ED-C6B8-4E0A-B35F-733E8ADA3AF5}"/>
            </a:ext>
            <a:ext uri="{147F2762-F138-4A5C-976F-8EAC2B608ADB}">
              <a16:predDERef xmlns:a16="http://schemas.microsoft.com/office/drawing/2014/main" pred="{AA759F80-9E91-6547-8C71-0FF09EA96E8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11109" y="26881247"/>
          <a:ext cx="2480490" cy="1063562"/>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573405</xdr:colOff>
      <xdr:row>1</xdr:row>
      <xdr:rowOff>81915</xdr:rowOff>
    </xdr:from>
    <xdr:ext cx="2713505" cy="1081187"/>
    <xdr:pic>
      <xdr:nvPicPr>
        <xdr:cNvPr id="2" name="Picture 1" descr="A blue and black logo&#10;&#10;Description automatically generated">
          <a:extLst>
            <a:ext uri="{FF2B5EF4-FFF2-40B4-BE49-F238E27FC236}">
              <a16:creationId xmlns:a16="http://schemas.microsoft.com/office/drawing/2014/main" id="{2A797DE1-C431-C345-A973-CA08CD8A1C5F}"/>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73405" y="272415"/>
          <a:ext cx="2713505" cy="1081187"/>
        </a:xfrm>
        <a:prstGeom prst="rect">
          <a:avLst/>
        </a:prstGeom>
        <a:noFill/>
        <a:ln>
          <a:noFill/>
        </a:ln>
      </xdr:spPr>
    </xdr:pic>
    <xdr:clientData/>
  </xdr:oneCellAnchor>
  <xdr:oneCellAnchor>
    <xdr:from>
      <xdr:col>0</xdr:col>
      <xdr:colOff>605367</xdr:colOff>
      <xdr:row>24</xdr:row>
      <xdr:rowOff>138641</xdr:rowOff>
    </xdr:from>
    <xdr:ext cx="2718404" cy="987304"/>
    <xdr:pic>
      <xdr:nvPicPr>
        <xdr:cNvPr id="3" name="Picture 2" descr="A blue and black logo&#10;&#10;Description automatically generated">
          <a:extLst>
            <a:ext uri="{FF2B5EF4-FFF2-40B4-BE49-F238E27FC236}">
              <a16:creationId xmlns:a16="http://schemas.microsoft.com/office/drawing/2014/main" id="{48B5A813-F714-6047-A54C-F41599D39B94}"/>
            </a:ext>
            <a:ext uri="{147F2762-F138-4A5C-976F-8EAC2B608ADB}">
              <a16:predDERef xmlns:a16="http://schemas.microsoft.com/office/drawing/2014/main" pred="{2A797DE1-C431-C345-A973-CA08CD8A1C5F}"/>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5367" y="5074708"/>
          <a:ext cx="2718404" cy="987304"/>
        </a:xfrm>
        <a:prstGeom prst="rect">
          <a:avLst/>
        </a:prstGeom>
        <a:noFill/>
        <a:ln>
          <a:noFill/>
        </a:ln>
      </xdr:spPr>
    </xdr:pic>
    <xdr:clientData/>
  </xdr:oneCellAnchor>
  <xdr:oneCellAnchor>
    <xdr:from>
      <xdr:col>1</xdr:col>
      <xdr:colOff>38100</xdr:colOff>
      <xdr:row>47</xdr:row>
      <xdr:rowOff>0</xdr:rowOff>
    </xdr:from>
    <xdr:ext cx="2697237" cy="1047837"/>
    <xdr:pic>
      <xdr:nvPicPr>
        <xdr:cNvPr id="4" name="Picture 3" descr="A blue and black logo&#10;&#10;Description automatically generated">
          <a:extLst>
            <a:ext uri="{FF2B5EF4-FFF2-40B4-BE49-F238E27FC236}">
              <a16:creationId xmlns:a16="http://schemas.microsoft.com/office/drawing/2014/main" id="{0C2E50AC-6ADF-6547-8090-FBE611197639}"/>
            </a:ext>
            <a:ext uri="{147F2762-F138-4A5C-976F-8EAC2B608ADB}">
              <a16:predDERef xmlns:a16="http://schemas.microsoft.com/office/drawing/2014/main" pred="{48B5A813-F714-6047-A54C-F41599D39B9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68867" y="9482667"/>
          <a:ext cx="2697237" cy="1047837"/>
        </a:xfrm>
        <a:prstGeom prst="rect">
          <a:avLst/>
        </a:prstGeom>
        <a:noFill/>
        <a:ln>
          <a:noFill/>
        </a:ln>
      </xdr:spPr>
    </xdr:pic>
    <xdr:clientData/>
  </xdr:oneCellAnchor>
  <xdr:oneCellAnchor>
    <xdr:from>
      <xdr:col>0</xdr:col>
      <xdr:colOff>593883</xdr:colOff>
      <xdr:row>91</xdr:row>
      <xdr:rowOff>23813</xdr:rowOff>
    </xdr:from>
    <xdr:ext cx="2428739" cy="948229"/>
    <xdr:pic>
      <xdr:nvPicPr>
        <xdr:cNvPr id="5" name="Picture 4" descr="A blue and black logo&#10;&#10;Description automatically generated">
          <a:extLst>
            <a:ext uri="{FF2B5EF4-FFF2-40B4-BE49-F238E27FC236}">
              <a16:creationId xmlns:a16="http://schemas.microsoft.com/office/drawing/2014/main" id="{41A65D2B-1A2A-3248-9BE3-93E02DE77D18}"/>
            </a:ext>
            <a:ext uri="{147F2762-F138-4A5C-976F-8EAC2B608ADB}">
              <a16:predDERef xmlns:a16="http://schemas.microsoft.com/office/drawing/2014/main" pred="{0C2E50AC-6ADF-6547-8090-FBE611197639}"/>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93883" y="18316046"/>
          <a:ext cx="2428739" cy="948229"/>
        </a:xfrm>
        <a:prstGeom prst="rect">
          <a:avLst/>
        </a:prstGeom>
        <a:noFill/>
        <a:ln>
          <a:noFill/>
        </a:ln>
      </xdr:spPr>
    </xdr:pic>
    <xdr:clientData/>
  </xdr:oneCellAnchor>
  <xdr:oneCellAnchor>
    <xdr:from>
      <xdr:col>1</xdr:col>
      <xdr:colOff>0</xdr:colOff>
      <xdr:row>128</xdr:row>
      <xdr:rowOff>22633</xdr:rowOff>
    </xdr:from>
    <xdr:ext cx="2480490" cy="1063562"/>
    <xdr:pic>
      <xdr:nvPicPr>
        <xdr:cNvPr id="7" name="Picture 6" descr="A blue and black logo&#10;&#10;Description automatically generated">
          <a:extLst>
            <a:ext uri="{FF2B5EF4-FFF2-40B4-BE49-F238E27FC236}">
              <a16:creationId xmlns:a16="http://schemas.microsoft.com/office/drawing/2014/main" id="{0BF6DF59-F876-46E0-BBF8-40823553A6BE}"/>
            </a:ext>
            <a:ext uri="{147F2762-F138-4A5C-976F-8EAC2B608ADB}">
              <a16:predDERef xmlns:a16="http://schemas.microsoft.com/office/drawing/2014/main" pred="{AA759F80-9E91-6547-8C71-0FF09EA96E8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27142213"/>
          <a:ext cx="2480490" cy="1063562"/>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561975</xdr:colOff>
      <xdr:row>1</xdr:row>
      <xdr:rowOff>152400</xdr:rowOff>
    </xdr:from>
    <xdr:ext cx="2339340" cy="770854"/>
    <xdr:pic>
      <xdr:nvPicPr>
        <xdr:cNvPr id="7" name="Picture 6" descr="A blue and black logo&#10;&#10;Description automatically generated">
          <a:extLst>
            <a:ext uri="{FF2B5EF4-FFF2-40B4-BE49-F238E27FC236}">
              <a16:creationId xmlns:a16="http://schemas.microsoft.com/office/drawing/2014/main" id="{F0455DD8-9728-4607-BBA2-64F3680A96AD}"/>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61975" y="32743140"/>
          <a:ext cx="2339340" cy="770854"/>
        </a:xfrm>
        <a:prstGeom prst="rect">
          <a:avLst/>
        </a:prstGeom>
        <a:noFill/>
        <a:ln>
          <a:noFill/>
        </a:ln>
      </xdr:spPr>
    </xdr:pic>
    <xdr:clientData/>
  </xdr:oneCellAnchor>
</xdr:wsDr>
</file>

<file path=xl/drawings/drawing5.xml><?xml version="1.0" encoding="utf-8"?>
<xdr:wsDr xmlns:xdr="http://schemas.openxmlformats.org/drawingml/2006/spreadsheetDrawing" xmlns:a="http://schemas.openxmlformats.org/drawingml/2006/main">
  <xdr:oneCellAnchor>
    <xdr:from>
      <xdr:col>1</xdr:col>
      <xdr:colOff>148389</xdr:colOff>
      <xdr:row>1</xdr:row>
      <xdr:rowOff>133124</xdr:rowOff>
    </xdr:from>
    <xdr:ext cx="2217965" cy="961860"/>
    <xdr:pic>
      <xdr:nvPicPr>
        <xdr:cNvPr id="2" name="Picture 4" descr="A blue and black logo&#10;&#10;Description automatically generated">
          <a:extLst>
            <a:ext uri="{FF2B5EF4-FFF2-40B4-BE49-F238E27FC236}">
              <a16:creationId xmlns:a16="http://schemas.microsoft.com/office/drawing/2014/main" id="{AA75F39E-3431-4AB1-86F5-396CB831B5C3}"/>
            </a:ext>
            <a:ext uri="{147F2762-F138-4A5C-976F-8EAC2B608ADB}">
              <a16:predDERef xmlns:a16="http://schemas.microsoft.com/office/drawing/2014/main" pred="{56419546-1F6D-914F-8632-ACD32BA805AB}"/>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775134" y="9338084"/>
          <a:ext cx="2217965" cy="96186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D4C7B-993F-4B9A-8578-F3CB69774B3D}">
  <dimension ref="B7:U1048576"/>
  <sheetViews>
    <sheetView tabSelected="1" topLeftCell="B1" zoomScaleNormal="100" workbookViewId="0">
      <selection activeCell="P42" sqref="P42"/>
    </sheetView>
  </sheetViews>
  <sheetFormatPr defaultColWidth="8.88671875" defaultRowHeight="14.4" x14ac:dyDescent="0.3"/>
  <cols>
    <col min="1" max="1" width="8.88671875" style="17"/>
    <col min="2" max="2" width="45.5546875" style="17" customWidth="1"/>
    <col min="3" max="3" width="21.33203125" style="17" bestFit="1" customWidth="1"/>
    <col min="4" max="4" width="5.6640625" style="17" bestFit="1" customWidth="1"/>
    <col min="5" max="5" width="14" style="17" customWidth="1"/>
    <col min="6" max="6" width="11.6640625" style="41" bestFit="1" customWidth="1"/>
    <col min="7" max="8" width="13" style="41" customWidth="1"/>
    <col min="9" max="9" width="16.6640625" style="41" bestFit="1" customWidth="1"/>
    <col min="10" max="10" width="17.44140625" style="17" customWidth="1"/>
    <col min="11" max="11" width="16.6640625" style="17" bestFit="1" customWidth="1"/>
    <col min="12" max="12" width="13.6640625" style="17" customWidth="1"/>
    <col min="13" max="13" width="17.88671875" style="17" customWidth="1"/>
    <col min="14" max="14" width="16.33203125" style="17" customWidth="1"/>
    <col min="15" max="15" width="13" style="17" customWidth="1"/>
    <col min="16" max="16" width="21.5546875" style="17" customWidth="1"/>
    <col min="17" max="17" width="14.44140625" style="17" customWidth="1"/>
    <col min="18" max="18" width="42" style="17" customWidth="1"/>
    <col min="19" max="19" width="8.88671875" style="17" customWidth="1"/>
    <col min="20" max="20" width="27.33203125" style="17" hidden="1" customWidth="1"/>
    <col min="21" max="21" width="8.88671875" style="17" customWidth="1"/>
    <col min="22" max="23" width="9.109375" style="17" bestFit="1" customWidth="1"/>
    <col min="24" max="24" width="10.33203125" style="17" bestFit="1" customWidth="1"/>
    <col min="25" max="16384" width="8.88671875" style="17"/>
  </cols>
  <sheetData>
    <row r="7" spans="2:20" x14ac:dyDescent="0.3">
      <c r="B7" s="16"/>
      <c r="C7" s="16"/>
      <c r="D7" s="16"/>
      <c r="E7" s="16"/>
      <c r="F7" s="16"/>
      <c r="G7" s="16"/>
      <c r="H7" s="16"/>
      <c r="I7" s="16"/>
      <c r="J7" s="16"/>
      <c r="K7" s="16"/>
      <c r="L7" s="16"/>
      <c r="M7" s="16"/>
      <c r="N7" s="16"/>
      <c r="O7" s="16"/>
      <c r="P7" s="16"/>
    </row>
    <row r="8" spans="2:20" ht="28.8" x14ac:dyDescent="0.3">
      <c r="B8" s="257" t="s">
        <v>0</v>
      </c>
      <c r="C8" s="257"/>
      <c r="D8" s="257"/>
      <c r="E8" s="257"/>
      <c r="F8" s="257"/>
      <c r="G8" s="257"/>
      <c r="H8" s="257"/>
      <c r="I8" s="257"/>
      <c r="J8" s="257"/>
      <c r="K8" s="257"/>
      <c r="L8" s="257"/>
      <c r="M8" s="257"/>
      <c r="N8" s="257"/>
      <c r="O8" s="257"/>
      <c r="P8" s="257"/>
    </row>
    <row r="9" spans="2:20" ht="28.8" x14ac:dyDescent="0.3">
      <c r="B9" s="4" t="s">
        <v>1</v>
      </c>
      <c r="C9" s="224" t="s">
        <v>2</v>
      </c>
      <c r="D9" s="224"/>
      <c r="E9" s="98" t="s">
        <v>3</v>
      </c>
      <c r="F9" s="98" t="s">
        <v>4</v>
      </c>
      <c r="G9" s="98" t="s">
        <v>5</v>
      </c>
      <c r="H9" s="98" t="s">
        <v>6</v>
      </c>
      <c r="I9" s="3" t="s">
        <v>7</v>
      </c>
      <c r="J9" s="3" t="s">
        <v>8</v>
      </c>
      <c r="K9" s="3" t="s">
        <v>9</v>
      </c>
      <c r="L9" s="3" t="s">
        <v>10</v>
      </c>
      <c r="M9" s="3" t="s">
        <v>11</v>
      </c>
      <c r="N9" s="98" t="s">
        <v>12</v>
      </c>
      <c r="O9" s="98" t="s">
        <v>13</v>
      </c>
      <c r="P9" s="4" t="s">
        <v>14</v>
      </c>
      <c r="T9" s="107" t="s">
        <v>15</v>
      </c>
    </row>
    <row r="10" spans="2:20" x14ac:dyDescent="0.3">
      <c r="B10" s="293" t="s">
        <v>16</v>
      </c>
      <c r="C10" s="293" t="s">
        <v>17</v>
      </c>
      <c r="D10" s="18" t="s">
        <v>18</v>
      </c>
      <c r="E10" s="19">
        <v>1800</v>
      </c>
      <c r="F10" s="20">
        <v>410</v>
      </c>
      <c r="G10" s="20">
        <v>76.5</v>
      </c>
      <c r="H10" s="20">
        <v>14</v>
      </c>
      <c r="I10" s="20">
        <v>10</v>
      </c>
      <c r="J10" s="20" t="s">
        <v>19</v>
      </c>
      <c r="K10" s="21">
        <f t="shared" ref="K10:K21" si="0">SUM(E10:J10)</f>
        <v>2310.5</v>
      </c>
      <c r="L10" s="22">
        <v>200</v>
      </c>
      <c r="M10" s="21">
        <f t="shared" ref="M10:M21" si="1">K10+L10</f>
        <v>2510.5</v>
      </c>
      <c r="N10" s="92" t="s">
        <v>20</v>
      </c>
      <c r="O10" s="23" t="s">
        <v>21</v>
      </c>
      <c r="P10" s="24" t="s">
        <v>22</v>
      </c>
      <c r="T10" s="108" t="s">
        <v>23</v>
      </c>
    </row>
    <row r="11" spans="2:20" x14ac:dyDescent="0.3">
      <c r="B11" s="294"/>
      <c r="C11" s="294"/>
      <c r="D11" s="18" t="s">
        <v>24</v>
      </c>
      <c r="E11" s="19">
        <v>2800</v>
      </c>
      <c r="F11" s="20">
        <v>410</v>
      </c>
      <c r="G11" s="20">
        <v>76.5</v>
      </c>
      <c r="H11" s="20">
        <v>14</v>
      </c>
      <c r="I11" s="20">
        <v>10</v>
      </c>
      <c r="J11" s="20" t="s">
        <v>19</v>
      </c>
      <c r="K11" s="21">
        <f t="shared" si="0"/>
        <v>3310.5</v>
      </c>
      <c r="L11" s="22">
        <v>200</v>
      </c>
      <c r="M11" s="21">
        <f t="shared" si="1"/>
        <v>3510.5</v>
      </c>
      <c r="N11" s="92" t="s">
        <v>20</v>
      </c>
      <c r="O11" s="23" t="s">
        <v>21</v>
      </c>
      <c r="P11" s="24" t="s">
        <v>22</v>
      </c>
      <c r="T11" s="108" t="s">
        <v>23</v>
      </c>
    </row>
    <row r="12" spans="2:20" x14ac:dyDescent="0.3">
      <c r="B12" s="294"/>
      <c r="C12" s="293" t="s">
        <v>17</v>
      </c>
      <c r="D12" s="88" t="s">
        <v>18</v>
      </c>
      <c r="E12" s="19">
        <f>(1125+265)+510</f>
        <v>1900</v>
      </c>
      <c r="F12" s="20">
        <v>355</v>
      </c>
      <c r="G12" s="20">
        <v>76.5</v>
      </c>
      <c r="H12" s="20">
        <v>14</v>
      </c>
      <c r="I12" s="20">
        <v>10</v>
      </c>
      <c r="J12" s="20">
        <v>150</v>
      </c>
      <c r="K12" s="21">
        <f t="shared" si="0"/>
        <v>2505.5</v>
      </c>
      <c r="L12" s="22">
        <v>200</v>
      </c>
      <c r="M12" s="21">
        <f t="shared" si="1"/>
        <v>2705.5</v>
      </c>
      <c r="N12" s="92" t="s">
        <v>20</v>
      </c>
      <c r="O12" s="23" t="s">
        <v>21</v>
      </c>
      <c r="P12" s="24" t="s">
        <v>25</v>
      </c>
      <c r="T12" s="108" t="s">
        <v>23</v>
      </c>
    </row>
    <row r="13" spans="2:20" x14ac:dyDescent="0.3">
      <c r="B13" s="294"/>
      <c r="C13" s="294"/>
      <c r="D13" s="88" t="s">
        <v>24</v>
      </c>
      <c r="E13" s="19">
        <f>(1735+530)+535</f>
        <v>2800</v>
      </c>
      <c r="F13" s="20">
        <v>355</v>
      </c>
      <c r="G13" s="20">
        <v>76.5</v>
      </c>
      <c r="H13" s="20">
        <v>14</v>
      </c>
      <c r="I13" s="20">
        <v>10</v>
      </c>
      <c r="J13" s="20">
        <v>300</v>
      </c>
      <c r="K13" s="21">
        <f t="shared" si="0"/>
        <v>3555.5</v>
      </c>
      <c r="L13" s="22">
        <v>200</v>
      </c>
      <c r="M13" s="21">
        <f t="shared" si="1"/>
        <v>3755.5</v>
      </c>
      <c r="N13" s="92" t="s">
        <v>20</v>
      </c>
      <c r="O13" s="23" t="s">
        <v>21</v>
      </c>
      <c r="P13" s="24" t="s">
        <v>25</v>
      </c>
      <c r="Q13" s="25"/>
      <c r="T13" s="108" t="s">
        <v>23</v>
      </c>
    </row>
    <row r="14" spans="2:20" x14ac:dyDescent="0.3">
      <c r="B14" s="295" t="s">
        <v>26</v>
      </c>
      <c r="C14" s="243" t="s">
        <v>17</v>
      </c>
      <c r="D14" s="18" t="s">
        <v>18</v>
      </c>
      <c r="E14" s="19">
        <f>(1225+265)+500</f>
        <v>1990</v>
      </c>
      <c r="F14" s="20">
        <v>355</v>
      </c>
      <c r="G14" s="20">
        <v>76.5</v>
      </c>
      <c r="H14" s="20">
        <v>14</v>
      </c>
      <c r="I14" s="20">
        <v>10</v>
      </c>
      <c r="J14" s="20">
        <v>150</v>
      </c>
      <c r="K14" s="21">
        <f t="shared" si="0"/>
        <v>2595.5</v>
      </c>
      <c r="L14" s="22">
        <v>200</v>
      </c>
      <c r="M14" s="21">
        <f t="shared" si="1"/>
        <v>2795.5</v>
      </c>
      <c r="N14" s="92" t="s">
        <v>27</v>
      </c>
      <c r="O14" s="23" t="s">
        <v>21</v>
      </c>
      <c r="P14" s="24" t="s">
        <v>25</v>
      </c>
      <c r="T14" s="108" t="s">
        <v>23</v>
      </c>
    </row>
    <row r="15" spans="2:20" x14ac:dyDescent="0.3">
      <c r="B15" s="296"/>
      <c r="C15" s="243"/>
      <c r="D15" s="18" t="s">
        <v>24</v>
      </c>
      <c r="E15" s="19">
        <f>(1950+530)+500</f>
        <v>2980</v>
      </c>
      <c r="F15" s="20">
        <v>355</v>
      </c>
      <c r="G15" s="20">
        <v>76.5</v>
      </c>
      <c r="H15" s="20">
        <v>14</v>
      </c>
      <c r="I15" s="20">
        <v>10</v>
      </c>
      <c r="J15" s="20">
        <v>300</v>
      </c>
      <c r="K15" s="21">
        <f t="shared" si="0"/>
        <v>3735.5</v>
      </c>
      <c r="L15" s="22">
        <v>200</v>
      </c>
      <c r="M15" s="21">
        <f t="shared" si="1"/>
        <v>3935.5</v>
      </c>
      <c r="N15" s="92" t="s">
        <v>27</v>
      </c>
      <c r="O15" s="23" t="s">
        <v>21</v>
      </c>
      <c r="P15" s="24" t="s">
        <v>25</v>
      </c>
      <c r="T15" s="108" t="s">
        <v>23</v>
      </c>
    </row>
    <row r="16" spans="2:20" x14ac:dyDescent="0.3">
      <c r="B16" s="295" t="s">
        <v>28</v>
      </c>
      <c r="C16" s="295" t="s">
        <v>17</v>
      </c>
      <c r="D16" s="18" t="s">
        <v>18</v>
      </c>
      <c r="E16" s="19">
        <f>(1425+265)+500</f>
        <v>2190</v>
      </c>
      <c r="F16" s="20">
        <v>355</v>
      </c>
      <c r="G16" s="20">
        <v>76.5</v>
      </c>
      <c r="H16" s="20">
        <v>14</v>
      </c>
      <c r="I16" s="20">
        <v>10</v>
      </c>
      <c r="J16" s="20">
        <v>150</v>
      </c>
      <c r="K16" s="21">
        <f t="shared" si="0"/>
        <v>2795.5</v>
      </c>
      <c r="L16" s="22">
        <v>200</v>
      </c>
      <c r="M16" s="21">
        <f t="shared" si="1"/>
        <v>2995.5</v>
      </c>
      <c r="N16" s="92" t="s">
        <v>29</v>
      </c>
      <c r="O16" s="23" t="s">
        <v>21</v>
      </c>
      <c r="P16" s="24" t="s">
        <v>25</v>
      </c>
      <c r="T16" s="108" t="s">
        <v>23</v>
      </c>
    </row>
    <row r="17" spans="2:20" x14ac:dyDescent="0.3">
      <c r="B17" s="296"/>
      <c r="C17" s="296"/>
      <c r="D17" s="18" t="s">
        <v>24</v>
      </c>
      <c r="E17" s="19">
        <f>(2350+530)+500</f>
        <v>3380</v>
      </c>
      <c r="F17" s="20">
        <v>355</v>
      </c>
      <c r="G17" s="20">
        <v>76.5</v>
      </c>
      <c r="H17" s="20">
        <v>14</v>
      </c>
      <c r="I17" s="20">
        <v>10</v>
      </c>
      <c r="J17" s="20">
        <v>300</v>
      </c>
      <c r="K17" s="21">
        <f t="shared" si="0"/>
        <v>4135.5</v>
      </c>
      <c r="L17" s="22">
        <v>200</v>
      </c>
      <c r="M17" s="21">
        <f t="shared" si="1"/>
        <v>4335.5</v>
      </c>
      <c r="N17" s="92" t="s">
        <v>29</v>
      </c>
      <c r="O17" s="23" t="s">
        <v>21</v>
      </c>
      <c r="P17" s="24" t="s">
        <v>25</v>
      </c>
      <c r="T17" s="108" t="s">
        <v>23</v>
      </c>
    </row>
    <row r="18" spans="2:20" x14ac:dyDescent="0.3">
      <c r="B18" s="295" t="s">
        <v>30</v>
      </c>
      <c r="C18" s="243" t="s">
        <v>31</v>
      </c>
      <c r="D18" s="18" t="s">
        <v>18</v>
      </c>
      <c r="E18" s="19">
        <f>(1225+265)+500</f>
        <v>1990</v>
      </c>
      <c r="F18" s="20">
        <v>355</v>
      </c>
      <c r="G18" s="20">
        <v>76.5</v>
      </c>
      <c r="H18" s="20">
        <v>14</v>
      </c>
      <c r="I18" s="20">
        <v>10</v>
      </c>
      <c r="J18" s="20">
        <v>150</v>
      </c>
      <c r="K18" s="21">
        <f t="shared" si="0"/>
        <v>2595.5</v>
      </c>
      <c r="L18" s="22">
        <v>200</v>
      </c>
      <c r="M18" s="21">
        <f t="shared" si="1"/>
        <v>2795.5</v>
      </c>
      <c r="N18" s="92" t="s">
        <v>32</v>
      </c>
      <c r="O18" s="23" t="s">
        <v>21</v>
      </c>
      <c r="P18" s="24" t="s">
        <v>25</v>
      </c>
      <c r="Q18" s="25"/>
      <c r="T18" s="108" t="s">
        <v>23</v>
      </c>
    </row>
    <row r="19" spans="2:20" x14ac:dyDescent="0.3">
      <c r="B19" s="303"/>
      <c r="C19" s="243"/>
      <c r="D19" s="18" t="s">
        <v>24</v>
      </c>
      <c r="E19" s="19">
        <f>(1950+530)+500</f>
        <v>2980</v>
      </c>
      <c r="F19" s="20">
        <v>355</v>
      </c>
      <c r="G19" s="20">
        <v>76.5</v>
      </c>
      <c r="H19" s="20">
        <v>14</v>
      </c>
      <c r="I19" s="20">
        <v>10</v>
      </c>
      <c r="J19" s="20">
        <v>300</v>
      </c>
      <c r="K19" s="21">
        <f t="shared" si="0"/>
        <v>3735.5</v>
      </c>
      <c r="L19" s="22">
        <v>200</v>
      </c>
      <c r="M19" s="21">
        <f t="shared" si="1"/>
        <v>3935.5</v>
      </c>
      <c r="N19" s="92" t="s">
        <v>32</v>
      </c>
      <c r="O19" s="23" t="s">
        <v>21</v>
      </c>
      <c r="P19" s="24" t="s">
        <v>25</v>
      </c>
      <c r="Q19" s="25"/>
      <c r="T19" s="108" t="s">
        <v>23</v>
      </c>
    </row>
    <row r="20" spans="2:20" x14ac:dyDescent="0.3">
      <c r="B20" s="303"/>
      <c r="C20" s="243" t="s">
        <v>17</v>
      </c>
      <c r="D20" s="18" t="s">
        <v>18</v>
      </c>
      <c r="E20" s="19">
        <f>(1225+265)+500</f>
        <v>1990</v>
      </c>
      <c r="F20" s="20">
        <v>355</v>
      </c>
      <c r="G20" s="20">
        <v>76.5</v>
      </c>
      <c r="H20" s="20">
        <v>14</v>
      </c>
      <c r="I20" s="20">
        <v>10</v>
      </c>
      <c r="J20" s="20">
        <v>150</v>
      </c>
      <c r="K20" s="21">
        <f t="shared" si="0"/>
        <v>2595.5</v>
      </c>
      <c r="L20" s="22">
        <v>200</v>
      </c>
      <c r="M20" s="21">
        <f t="shared" si="1"/>
        <v>2795.5</v>
      </c>
      <c r="N20" s="92" t="s">
        <v>33</v>
      </c>
      <c r="O20" s="23" t="s">
        <v>21</v>
      </c>
      <c r="P20" s="24" t="s">
        <v>25</v>
      </c>
      <c r="T20" s="108" t="s">
        <v>23</v>
      </c>
    </row>
    <row r="21" spans="2:20" x14ac:dyDescent="0.3">
      <c r="B21" s="296"/>
      <c r="C21" s="243"/>
      <c r="D21" s="18" t="s">
        <v>24</v>
      </c>
      <c r="E21" s="19">
        <f>(1950+530)+500</f>
        <v>2980</v>
      </c>
      <c r="F21" s="20">
        <v>355</v>
      </c>
      <c r="G21" s="20">
        <v>76.5</v>
      </c>
      <c r="H21" s="20">
        <v>14</v>
      </c>
      <c r="I21" s="20">
        <v>10</v>
      </c>
      <c r="J21" s="20">
        <v>300</v>
      </c>
      <c r="K21" s="21">
        <f t="shared" si="0"/>
        <v>3735.5</v>
      </c>
      <c r="L21" s="22">
        <v>200</v>
      </c>
      <c r="M21" s="21">
        <f t="shared" si="1"/>
        <v>3935.5</v>
      </c>
      <c r="N21" s="92" t="s">
        <v>33</v>
      </c>
      <c r="O21" s="23" t="s">
        <v>21</v>
      </c>
      <c r="P21" s="24" t="s">
        <v>25</v>
      </c>
      <c r="T21" s="108" t="s">
        <v>23</v>
      </c>
    </row>
    <row r="22" spans="2:20" x14ac:dyDescent="0.3">
      <c r="B22" s="26"/>
      <c r="C22" s="26"/>
      <c r="D22" s="27"/>
      <c r="E22" s="93"/>
      <c r="F22" s="73"/>
      <c r="G22" s="73"/>
      <c r="H22" s="73"/>
      <c r="I22" s="73"/>
      <c r="J22" s="76"/>
      <c r="K22" s="76"/>
      <c r="L22" s="76"/>
      <c r="M22" s="75"/>
      <c r="N22" s="76"/>
      <c r="O22" s="75"/>
      <c r="P22" s="28"/>
      <c r="Q22" s="27"/>
    </row>
    <row r="23" spans="2:20" ht="15.6" x14ac:dyDescent="0.3">
      <c r="B23" s="184" t="s">
        <v>34</v>
      </c>
      <c r="C23" s="185"/>
      <c r="D23" s="185"/>
      <c r="E23" s="185"/>
      <c r="F23" s="185"/>
      <c r="G23" s="185"/>
      <c r="H23" s="185"/>
      <c r="I23" s="185"/>
      <c r="J23" s="185"/>
      <c r="K23" s="185"/>
      <c r="L23" s="185"/>
      <c r="M23" s="185"/>
      <c r="N23" s="185"/>
      <c r="O23" s="185"/>
      <c r="P23" s="185"/>
    </row>
    <row r="24" spans="2:20" ht="14.4" customHeight="1" x14ac:dyDescent="0.3">
      <c r="B24" s="304" t="s">
        <v>35</v>
      </c>
      <c r="C24" s="304"/>
      <c r="D24" s="304"/>
      <c r="E24" s="304"/>
      <c r="F24" s="304"/>
      <c r="G24" s="304"/>
      <c r="H24" s="304"/>
      <c r="I24" s="304"/>
      <c r="J24" s="304"/>
      <c r="K24" s="304"/>
      <c r="L24" s="304"/>
      <c r="M24" s="304"/>
      <c r="N24" s="304"/>
      <c r="O24" s="304"/>
      <c r="P24" s="304"/>
    </row>
    <row r="25" spans="2:20" x14ac:dyDescent="0.3">
      <c r="B25" s="304"/>
      <c r="C25" s="304"/>
      <c r="D25" s="304"/>
      <c r="E25" s="304"/>
      <c r="F25" s="304"/>
      <c r="G25" s="304"/>
      <c r="H25" s="304"/>
      <c r="I25" s="304"/>
      <c r="J25" s="304"/>
      <c r="K25" s="304"/>
      <c r="L25" s="304"/>
      <c r="M25" s="304"/>
      <c r="N25" s="304"/>
      <c r="O25" s="304"/>
      <c r="P25" s="304"/>
    </row>
    <row r="26" spans="2:20" x14ac:dyDescent="0.3">
      <c r="B26" s="304"/>
      <c r="C26" s="304"/>
      <c r="D26" s="304"/>
      <c r="E26" s="304"/>
      <c r="F26" s="304"/>
      <c r="G26" s="304"/>
      <c r="H26" s="304"/>
      <c r="I26" s="304"/>
      <c r="J26" s="304"/>
      <c r="K26" s="304"/>
      <c r="L26" s="304"/>
      <c r="M26" s="304"/>
      <c r="N26" s="304"/>
      <c r="O26" s="304"/>
      <c r="P26" s="304"/>
    </row>
    <row r="27" spans="2:20" x14ac:dyDescent="0.3">
      <c r="B27" s="304"/>
      <c r="C27" s="304"/>
      <c r="D27" s="304"/>
      <c r="E27" s="304"/>
      <c r="F27" s="304"/>
      <c r="G27" s="304"/>
      <c r="H27" s="304"/>
      <c r="I27" s="304"/>
      <c r="J27" s="304"/>
      <c r="K27" s="304"/>
      <c r="L27" s="304"/>
      <c r="M27" s="304"/>
      <c r="N27" s="304"/>
      <c r="O27" s="304"/>
      <c r="P27" s="304"/>
    </row>
    <row r="28" spans="2:20" x14ac:dyDescent="0.3">
      <c r="B28" s="29"/>
      <c r="C28" s="29"/>
      <c r="D28" s="29"/>
      <c r="E28" s="29"/>
      <c r="F28" s="29"/>
      <c r="G28" s="29"/>
      <c r="H28" s="29"/>
      <c r="I28" s="29"/>
      <c r="J28" s="29"/>
      <c r="K28" s="29"/>
      <c r="L28" s="29"/>
      <c r="M28" s="29"/>
      <c r="N28" s="29"/>
      <c r="O28" s="29"/>
      <c r="P28" s="29"/>
      <c r="Q28" s="29"/>
    </row>
    <row r="29" spans="2:20" x14ac:dyDescent="0.3">
      <c r="B29" s="29"/>
      <c r="C29" s="29"/>
      <c r="D29" s="29"/>
      <c r="E29" s="29"/>
      <c r="F29" s="29"/>
      <c r="G29" s="29"/>
      <c r="H29" s="29"/>
      <c r="I29" s="29"/>
      <c r="J29" s="29"/>
      <c r="K29" s="29"/>
      <c r="L29" s="29"/>
      <c r="M29" s="29"/>
      <c r="N29" s="29"/>
      <c r="O29" s="29"/>
      <c r="P29" s="29"/>
      <c r="Q29" s="29"/>
    </row>
    <row r="30" spans="2:20" x14ac:dyDescent="0.3">
      <c r="B30" s="29"/>
      <c r="C30" s="29"/>
      <c r="D30" s="29"/>
      <c r="E30" s="29"/>
      <c r="F30" s="29"/>
      <c r="G30" s="29"/>
      <c r="H30" s="29"/>
      <c r="I30" s="29"/>
      <c r="J30" s="29"/>
      <c r="K30" s="29"/>
      <c r="L30" s="29"/>
      <c r="M30" s="29"/>
      <c r="N30" s="29"/>
      <c r="O30" s="29"/>
      <c r="P30" s="29"/>
      <c r="Q30" s="29"/>
    </row>
    <row r="31" spans="2:20" x14ac:dyDescent="0.3">
      <c r="B31" s="29"/>
      <c r="C31" s="29"/>
      <c r="D31" s="29"/>
      <c r="E31" s="29"/>
      <c r="F31" s="29"/>
      <c r="G31" s="29"/>
      <c r="H31" s="29"/>
      <c r="I31" s="29"/>
      <c r="J31" s="29"/>
      <c r="K31" s="29"/>
      <c r="L31" s="29"/>
      <c r="M31" s="29"/>
      <c r="N31" s="29"/>
      <c r="O31" s="29"/>
      <c r="P31" s="29"/>
      <c r="Q31" s="29"/>
    </row>
    <row r="32" spans="2:20" x14ac:dyDescent="0.3">
      <c r="B32" s="29"/>
      <c r="C32" s="29"/>
      <c r="D32" s="29"/>
      <c r="E32" s="29"/>
      <c r="F32" s="29"/>
      <c r="G32" s="29"/>
      <c r="H32" s="29"/>
      <c r="I32" s="29"/>
      <c r="J32" s="29"/>
      <c r="K32" s="29"/>
      <c r="L32" s="29"/>
      <c r="M32" s="29"/>
      <c r="N32" s="29"/>
      <c r="O32" s="29"/>
      <c r="P32" s="29"/>
      <c r="Q32" s="29"/>
    </row>
    <row r="33" spans="2:20" x14ac:dyDescent="0.3">
      <c r="B33" s="29"/>
      <c r="C33" s="29"/>
      <c r="D33" s="29"/>
      <c r="E33" s="29"/>
      <c r="F33" s="29"/>
      <c r="G33" s="29"/>
      <c r="H33" s="29"/>
      <c r="I33" s="29"/>
      <c r="J33" s="29"/>
      <c r="K33" s="29"/>
      <c r="L33" s="29"/>
      <c r="M33" s="29"/>
      <c r="N33" s="29"/>
      <c r="O33" s="29"/>
      <c r="P33" s="29"/>
      <c r="Q33" s="29"/>
    </row>
    <row r="34" spans="2:20" x14ac:dyDescent="0.3">
      <c r="B34" s="26"/>
      <c r="C34" s="26"/>
      <c r="D34" s="27"/>
      <c r="E34" s="93"/>
      <c r="F34" s="73"/>
      <c r="G34" s="73"/>
      <c r="H34" s="73"/>
      <c r="I34" s="73"/>
      <c r="J34" s="76"/>
      <c r="K34" s="76"/>
      <c r="L34" s="76"/>
      <c r="M34" s="75"/>
      <c r="N34" s="76"/>
      <c r="O34" s="75"/>
      <c r="P34" s="28"/>
      <c r="Q34" s="27"/>
    </row>
    <row r="35" spans="2:20" ht="28.8" x14ac:dyDescent="0.3">
      <c r="B35" s="297" t="s">
        <v>36</v>
      </c>
      <c r="C35" s="264"/>
      <c r="D35" s="264"/>
      <c r="E35" s="264"/>
      <c r="F35" s="264"/>
      <c r="G35" s="264"/>
      <c r="H35" s="264"/>
      <c r="I35" s="264"/>
      <c r="J35" s="264"/>
      <c r="K35" s="264"/>
      <c r="L35" s="264"/>
      <c r="M35" s="264"/>
      <c r="N35" s="264"/>
      <c r="O35" s="264"/>
      <c r="P35" s="264"/>
    </row>
    <row r="36" spans="2:20" ht="28.8" x14ac:dyDescent="0.3">
      <c r="B36" s="98" t="s">
        <v>1</v>
      </c>
      <c r="C36" s="224" t="s">
        <v>2</v>
      </c>
      <c r="D36" s="224"/>
      <c r="E36" s="98" t="s">
        <v>3</v>
      </c>
      <c r="F36" s="98" t="s">
        <v>4</v>
      </c>
      <c r="G36" s="11" t="s">
        <v>37</v>
      </c>
      <c r="H36" s="105" t="s">
        <v>6</v>
      </c>
      <c r="I36" s="3" t="s">
        <v>9</v>
      </c>
      <c r="J36" s="3" t="s">
        <v>10</v>
      </c>
      <c r="K36" s="3" t="s">
        <v>11</v>
      </c>
      <c r="L36" s="98" t="s">
        <v>12</v>
      </c>
      <c r="M36" s="98" t="s">
        <v>13</v>
      </c>
      <c r="N36" s="98" t="s">
        <v>14</v>
      </c>
      <c r="O36" s="224" t="s">
        <v>38</v>
      </c>
      <c r="P36" s="224"/>
      <c r="T36" s="186" t="s">
        <v>15</v>
      </c>
    </row>
    <row r="37" spans="2:20" x14ac:dyDescent="0.3">
      <c r="B37" s="298" t="s">
        <v>39</v>
      </c>
      <c r="C37" s="121" t="s">
        <v>31</v>
      </c>
      <c r="D37" s="18" t="s">
        <v>18</v>
      </c>
      <c r="E37" s="129">
        <f>CEILING((((2861+50)*1.15)),50)</f>
        <v>3350</v>
      </c>
      <c r="F37" s="191">
        <v>340</v>
      </c>
      <c r="G37" s="191">
        <v>80</v>
      </c>
      <c r="H37" s="191">
        <v>18</v>
      </c>
      <c r="I37" s="33">
        <f>SUM(E37:H37)</f>
        <v>3788</v>
      </c>
      <c r="J37" s="22">
        <v>200</v>
      </c>
      <c r="K37" s="21">
        <f>I37+J37</f>
        <v>3988</v>
      </c>
      <c r="L37" s="34" t="s">
        <v>40</v>
      </c>
      <c r="M37" s="86" t="s">
        <v>21</v>
      </c>
      <c r="N37" s="69" t="s">
        <v>41</v>
      </c>
      <c r="O37" s="299" t="s">
        <v>42</v>
      </c>
      <c r="P37" s="300"/>
      <c r="T37" s="42" t="s">
        <v>43</v>
      </c>
    </row>
    <row r="38" spans="2:20" x14ac:dyDescent="0.3">
      <c r="B38" s="298"/>
      <c r="C38" s="121" t="s">
        <v>31</v>
      </c>
      <c r="D38" s="18" t="s">
        <v>24</v>
      </c>
      <c r="E38" s="129">
        <f>CEILING((((3311+50)*1.15)),50)</f>
        <v>3900</v>
      </c>
      <c r="F38" s="191">
        <v>340</v>
      </c>
      <c r="G38" s="191">
        <v>80</v>
      </c>
      <c r="H38" s="191">
        <v>18</v>
      </c>
      <c r="I38" s="33">
        <f>SUM(E38:H38)</f>
        <v>4338</v>
      </c>
      <c r="J38" s="22">
        <v>200</v>
      </c>
      <c r="K38" s="21">
        <f>I38+J38</f>
        <v>4538</v>
      </c>
      <c r="L38" s="34" t="s">
        <v>40</v>
      </c>
      <c r="M38" s="86" t="s">
        <v>21</v>
      </c>
      <c r="N38" s="69" t="s">
        <v>41</v>
      </c>
      <c r="O38" s="301"/>
      <c r="P38" s="302"/>
      <c r="T38" s="42" t="s">
        <v>43</v>
      </c>
    </row>
    <row r="39" spans="2:20" ht="14.4" customHeight="1" x14ac:dyDescent="0.3">
      <c r="B39" s="187" t="s">
        <v>44</v>
      </c>
      <c r="C39" s="121" t="s">
        <v>31</v>
      </c>
      <c r="D39" s="18" t="s">
        <v>18</v>
      </c>
      <c r="E39" s="129">
        <v>2645</v>
      </c>
      <c r="F39" s="20">
        <v>355</v>
      </c>
      <c r="G39" s="20">
        <v>76.5</v>
      </c>
      <c r="H39" s="20">
        <v>24</v>
      </c>
      <c r="I39" s="33">
        <f>SUM(E39:H39)</f>
        <v>3100.5</v>
      </c>
      <c r="J39" s="22">
        <v>200</v>
      </c>
      <c r="K39" s="21">
        <f>I39+J39</f>
        <v>3300.5</v>
      </c>
      <c r="L39" s="34" t="s">
        <v>45</v>
      </c>
      <c r="M39" s="86" t="s">
        <v>21</v>
      </c>
      <c r="N39" s="69" t="s">
        <v>46</v>
      </c>
      <c r="O39" s="244" t="s">
        <v>47</v>
      </c>
      <c r="P39" s="244"/>
      <c r="T39" s="42" t="s">
        <v>48</v>
      </c>
    </row>
    <row r="40" spans="2:20" ht="14.4" customHeight="1" x14ac:dyDescent="0.3">
      <c r="B40" s="187" t="s">
        <v>49</v>
      </c>
      <c r="C40" s="121" t="s">
        <v>31</v>
      </c>
      <c r="D40" s="18" t="s">
        <v>24</v>
      </c>
      <c r="E40" s="129">
        <f>CEILING((((3311+50)*1.15)),5)</f>
        <v>3870</v>
      </c>
      <c r="F40" s="191">
        <v>340</v>
      </c>
      <c r="G40" s="191">
        <v>80</v>
      </c>
      <c r="H40" s="191">
        <v>18</v>
      </c>
      <c r="I40" s="33">
        <f>SUM(E40:H40)</f>
        <v>4308</v>
      </c>
      <c r="J40" s="22">
        <v>200</v>
      </c>
      <c r="K40" s="21">
        <f>I40+J40</f>
        <v>4508</v>
      </c>
      <c r="L40" s="34" t="s">
        <v>40</v>
      </c>
      <c r="M40" s="86" t="s">
        <v>21</v>
      </c>
      <c r="N40" s="69" t="s">
        <v>41</v>
      </c>
      <c r="O40" s="244" t="s">
        <v>47</v>
      </c>
      <c r="P40" s="244"/>
      <c r="T40" s="42" t="s">
        <v>43</v>
      </c>
    </row>
    <row r="41" spans="2:20" x14ac:dyDescent="0.3">
      <c r="B41" s="36"/>
      <c r="C41" s="104"/>
      <c r="D41" s="27"/>
      <c r="E41" s="37"/>
      <c r="F41" s="37"/>
      <c r="G41" s="37"/>
      <c r="H41" s="104"/>
      <c r="I41" s="73"/>
      <c r="J41" s="74"/>
      <c r="K41" s="74"/>
      <c r="L41" s="74"/>
      <c r="M41" s="75"/>
      <c r="N41" s="76"/>
      <c r="O41" s="38"/>
      <c r="P41" s="28"/>
      <c r="Q41" s="104"/>
    </row>
    <row r="42" spans="2:20" ht="15.6" x14ac:dyDescent="0.3">
      <c r="B42" s="5" t="s">
        <v>34</v>
      </c>
      <c r="C42" s="6"/>
      <c r="D42" s="6"/>
      <c r="E42" s="6"/>
      <c r="F42" s="6"/>
      <c r="G42" s="6"/>
      <c r="H42" s="6"/>
      <c r="I42" s="6"/>
      <c r="J42" s="6"/>
      <c r="K42" s="6"/>
      <c r="L42" s="6"/>
      <c r="M42" s="6"/>
      <c r="N42" s="6"/>
      <c r="O42" s="6"/>
      <c r="P42" s="6"/>
      <c r="Q42" s="7"/>
    </row>
    <row r="43" spans="2:20" x14ac:dyDescent="0.3">
      <c r="B43" s="227" t="s">
        <v>35</v>
      </c>
      <c r="C43" s="228"/>
      <c r="D43" s="228"/>
      <c r="E43" s="228"/>
      <c r="F43" s="228"/>
      <c r="G43" s="228"/>
      <c r="H43" s="228"/>
      <c r="I43" s="228"/>
      <c r="J43" s="228"/>
      <c r="K43" s="228"/>
      <c r="L43" s="228"/>
      <c r="M43" s="228"/>
      <c r="N43" s="228"/>
      <c r="O43" s="228"/>
      <c r="P43" s="228"/>
      <c r="Q43" s="229"/>
    </row>
    <row r="44" spans="2:20" x14ac:dyDescent="0.3">
      <c r="B44" s="227"/>
      <c r="C44" s="228"/>
      <c r="D44" s="228"/>
      <c r="E44" s="228"/>
      <c r="F44" s="228"/>
      <c r="G44" s="228"/>
      <c r="H44" s="228"/>
      <c r="I44" s="228"/>
      <c r="J44" s="228"/>
      <c r="K44" s="228"/>
      <c r="L44" s="228"/>
      <c r="M44" s="228"/>
      <c r="N44" s="228"/>
      <c r="O44" s="228"/>
      <c r="P44" s="228"/>
      <c r="Q44" s="229"/>
    </row>
    <row r="45" spans="2:20" x14ac:dyDescent="0.3">
      <c r="B45" s="227"/>
      <c r="C45" s="228"/>
      <c r="D45" s="228"/>
      <c r="E45" s="228"/>
      <c r="F45" s="228"/>
      <c r="G45" s="228"/>
      <c r="H45" s="228"/>
      <c r="I45" s="228"/>
      <c r="J45" s="228"/>
      <c r="K45" s="228"/>
      <c r="L45" s="228"/>
      <c r="M45" s="228"/>
      <c r="N45" s="228"/>
      <c r="O45" s="228"/>
      <c r="P45" s="228"/>
      <c r="Q45" s="229"/>
    </row>
    <row r="46" spans="2:20" x14ac:dyDescent="0.3">
      <c r="B46" s="230"/>
      <c r="C46" s="231"/>
      <c r="D46" s="231"/>
      <c r="E46" s="231"/>
      <c r="F46" s="231"/>
      <c r="G46" s="231"/>
      <c r="H46" s="231"/>
      <c r="I46" s="231"/>
      <c r="J46" s="231"/>
      <c r="K46" s="231"/>
      <c r="L46" s="231"/>
      <c r="M46" s="231"/>
      <c r="N46" s="231"/>
      <c r="O46" s="231"/>
      <c r="P46" s="231"/>
      <c r="Q46" s="232"/>
    </row>
    <row r="47" spans="2:20" x14ac:dyDescent="0.3">
      <c r="B47" s="29"/>
      <c r="C47" s="29"/>
      <c r="D47" s="29"/>
      <c r="E47" s="29"/>
      <c r="F47" s="29"/>
      <c r="G47" s="29"/>
      <c r="H47" s="29"/>
      <c r="I47" s="29"/>
      <c r="J47" s="29"/>
      <c r="K47" s="29"/>
      <c r="L47" s="29"/>
      <c r="M47" s="29"/>
      <c r="N47" s="29"/>
      <c r="O47" s="29"/>
      <c r="P47" s="29"/>
      <c r="Q47" s="91"/>
    </row>
    <row r="48" spans="2:20" x14ac:dyDescent="0.3">
      <c r="B48" s="29"/>
      <c r="C48" s="29"/>
      <c r="D48" s="29"/>
      <c r="E48" s="29"/>
      <c r="F48" s="29"/>
      <c r="G48" s="29"/>
      <c r="H48" s="29"/>
      <c r="I48" s="29"/>
      <c r="J48" s="29"/>
      <c r="K48" s="29"/>
      <c r="L48" s="29"/>
      <c r="M48" s="29"/>
      <c r="N48" s="29"/>
      <c r="O48" s="29"/>
      <c r="P48" s="29"/>
      <c r="Q48" s="29"/>
    </row>
    <row r="49" spans="2:20" x14ac:dyDescent="0.3">
      <c r="B49" s="29"/>
      <c r="C49" s="29"/>
      <c r="D49" s="29"/>
      <c r="E49" s="29"/>
      <c r="F49" s="29"/>
      <c r="G49" s="29"/>
      <c r="H49" s="29"/>
      <c r="I49" s="29"/>
      <c r="J49" s="29"/>
      <c r="K49" s="29"/>
      <c r="L49" s="29"/>
      <c r="M49" s="29"/>
      <c r="N49" s="29"/>
      <c r="O49" s="29"/>
      <c r="P49" s="29"/>
      <c r="Q49" s="29"/>
    </row>
    <row r="50" spans="2:20" x14ac:dyDescent="0.3">
      <c r="B50" s="29"/>
      <c r="C50" s="29"/>
      <c r="D50" s="29"/>
      <c r="E50" s="29"/>
      <c r="F50" s="29"/>
      <c r="G50" s="29"/>
      <c r="H50" s="29"/>
      <c r="I50" s="29"/>
      <c r="J50" s="29"/>
      <c r="K50" s="29"/>
      <c r="L50" s="29"/>
      <c r="M50" s="29"/>
      <c r="N50" s="29"/>
      <c r="O50" s="29"/>
      <c r="P50" s="29"/>
      <c r="Q50" s="29"/>
    </row>
    <row r="51" spans="2:20" x14ac:dyDescent="0.3">
      <c r="B51" s="29"/>
      <c r="C51" s="29"/>
      <c r="D51" s="29"/>
      <c r="E51" s="29"/>
      <c r="F51" s="29"/>
      <c r="G51" s="29"/>
      <c r="H51" s="29"/>
      <c r="I51" s="29"/>
      <c r="J51" s="29"/>
      <c r="K51" s="29"/>
      <c r="L51" s="29"/>
      <c r="M51" s="29"/>
      <c r="N51" s="29"/>
      <c r="O51" s="29"/>
      <c r="P51" s="29"/>
      <c r="Q51" s="29"/>
    </row>
    <row r="52" spans="2:20" x14ac:dyDescent="0.3">
      <c r="B52" s="29"/>
      <c r="C52" s="29"/>
      <c r="D52" s="29"/>
      <c r="E52" s="29"/>
      <c r="F52" s="29"/>
      <c r="G52" s="29"/>
      <c r="H52" s="29"/>
      <c r="I52" s="29"/>
      <c r="J52" s="29"/>
      <c r="K52" s="29"/>
      <c r="L52" s="29"/>
      <c r="M52" s="29"/>
      <c r="N52" s="29"/>
      <c r="O52" s="29"/>
      <c r="P52" s="29"/>
      <c r="Q52" s="29"/>
    </row>
    <row r="53" spans="2:20" x14ac:dyDescent="0.3">
      <c r="B53" s="29"/>
      <c r="C53" s="29"/>
      <c r="D53" s="29"/>
      <c r="E53" s="29"/>
      <c r="F53" s="29"/>
      <c r="G53" s="29"/>
      <c r="H53" s="29"/>
      <c r="I53" s="29"/>
      <c r="J53" s="29"/>
      <c r="K53" s="29"/>
      <c r="L53" s="29"/>
      <c r="M53" s="29"/>
      <c r="N53" s="29"/>
      <c r="O53" s="29"/>
      <c r="P53" s="29"/>
      <c r="Q53" s="29"/>
    </row>
    <row r="54" spans="2:20" x14ac:dyDescent="0.3">
      <c r="B54" s="29"/>
      <c r="C54" s="29"/>
      <c r="D54" s="29"/>
      <c r="E54" s="29"/>
      <c r="F54" s="29"/>
      <c r="G54" s="29"/>
      <c r="H54" s="29"/>
      <c r="I54" s="29"/>
      <c r="J54" s="29"/>
      <c r="K54" s="29"/>
      <c r="L54" s="29"/>
      <c r="M54" s="29"/>
      <c r="N54" s="29"/>
      <c r="O54" s="29"/>
      <c r="P54" s="29"/>
      <c r="Q54" s="29"/>
    </row>
    <row r="55" spans="2:20" ht="15" thickBot="1" x14ac:dyDescent="0.35">
      <c r="B55" s="26"/>
      <c r="C55" s="26"/>
      <c r="D55" s="27"/>
      <c r="E55" s="93"/>
      <c r="F55" s="73"/>
      <c r="G55" s="73"/>
      <c r="H55" s="73"/>
      <c r="I55" s="73"/>
      <c r="J55" s="76"/>
      <c r="K55" s="76"/>
      <c r="L55" s="76"/>
      <c r="M55" s="75"/>
      <c r="N55" s="76"/>
      <c r="O55" s="75"/>
      <c r="P55" s="28"/>
      <c r="Q55" s="27"/>
      <c r="R55" s="27"/>
    </row>
    <row r="56" spans="2:20" ht="28.8" x14ac:dyDescent="0.3">
      <c r="B56" s="222" t="s">
        <v>50</v>
      </c>
      <c r="C56" s="223"/>
      <c r="D56" s="223"/>
      <c r="E56" s="223"/>
      <c r="F56" s="223"/>
      <c r="G56" s="223"/>
      <c r="H56" s="223"/>
      <c r="I56" s="223"/>
      <c r="J56" s="223"/>
      <c r="K56" s="223"/>
      <c r="L56" s="223"/>
      <c r="M56" s="223"/>
      <c r="N56" s="223"/>
      <c r="O56" s="223"/>
      <c r="P56" s="223"/>
      <c r="Q56" s="223"/>
      <c r="R56" s="223"/>
      <c r="S56" s="245"/>
    </row>
    <row r="57" spans="2:20" ht="28.8" x14ac:dyDescent="0.3">
      <c r="B57" s="72" t="s">
        <v>1</v>
      </c>
      <c r="C57" s="224" t="s">
        <v>2</v>
      </c>
      <c r="D57" s="224"/>
      <c r="E57" s="98" t="s">
        <v>3</v>
      </c>
      <c r="F57" s="98" t="s">
        <v>4</v>
      </c>
      <c r="G57" s="98" t="s">
        <v>5</v>
      </c>
      <c r="H57" s="98" t="s">
        <v>6</v>
      </c>
      <c r="I57" s="3" t="s">
        <v>51</v>
      </c>
      <c r="J57" s="3" t="s">
        <v>52</v>
      </c>
      <c r="K57" s="3" t="s">
        <v>53</v>
      </c>
      <c r="L57" s="3" t="s">
        <v>54</v>
      </c>
      <c r="M57" s="3" t="s">
        <v>10</v>
      </c>
      <c r="N57" s="172" t="s">
        <v>11</v>
      </c>
      <c r="O57" s="172" t="s">
        <v>12</v>
      </c>
      <c r="P57" s="4" t="s">
        <v>13</v>
      </c>
      <c r="Q57" s="4" t="s">
        <v>14</v>
      </c>
      <c r="R57" s="287" t="s">
        <v>38</v>
      </c>
      <c r="S57" s="288"/>
      <c r="T57" s="107" t="s">
        <v>15</v>
      </c>
    </row>
    <row r="58" spans="2:20" ht="14.4" customHeight="1" x14ac:dyDescent="0.3">
      <c r="B58" s="270" t="s">
        <v>55</v>
      </c>
      <c r="C58" s="271" t="s">
        <v>56</v>
      </c>
      <c r="D58" s="123" t="s">
        <v>18</v>
      </c>
      <c r="E58" s="124">
        <f>CEILING((((5547+115)*1.15)-340)-150,50)</f>
        <v>6050</v>
      </c>
      <c r="F58" s="191">
        <v>340</v>
      </c>
      <c r="G58" s="191">
        <v>80</v>
      </c>
      <c r="H58" s="191">
        <v>18</v>
      </c>
      <c r="I58" s="191" t="s">
        <v>57</v>
      </c>
      <c r="J58" s="191">
        <v>75</v>
      </c>
      <c r="K58" s="191">
        <v>75</v>
      </c>
      <c r="L58" s="164">
        <f t="shared" ref="L58:L81" si="2">SUM(E58:K58)</f>
        <v>6638</v>
      </c>
      <c r="M58" s="171">
        <v>200</v>
      </c>
      <c r="N58" s="164">
        <f t="shared" ref="N58:N81" si="3">SUM(L58:M58)</f>
        <v>6838</v>
      </c>
      <c r="O58" s="127" t="s">
        <v>58</v>
      </c>
      <c r="P58" s="180" t="s">
        <v>59</v>
      </c>
      <c r="Q58" s="127" t="s">
        <v>41</v>
      </c>
      <c r="R58" s="269" t="s">
        <v>60</v>
      </c>
      <c r="S58" s="269"/>
      <c r="T58" s="108" t="s">
        <v>61</v>
      </c>
    </row>
    <row r="59" spans="2:20" x14ac:dyDescent="0.3">
      <c r="B59" s="270"/>
      <c r="C59" s="271"/>
      <c r="D59" s="123" t="s">
        <v>24</v>
      </c>
      <c r="E59" s="124">
        <f>CEILING((((6197+115)*1.15)-340)-150,50)</f>
        <v>6800</v>
      </c>
      <c r="F59" s="191">
        <v>340</v>
      </c>
      <c r="G59" s="191">
        <v>80</v>
      </c>
      <c r="H59" s="191">
        <v>18</v>
      </c>
      <c r="I59" s="191" t="s">
        <v>57</v>
      </c>
      <c r="J59" s="191">
        <v>75</v>
      </c>
      <c r="K59" s="191">
        <v>75</v>
      </c>
      <c r="L59" s="164">
        <f t="shared" si="2"/>
        <v>7388</v>
      </c>
      <c r="M59" s="171">
        <v>200</v>
      </c>
      <c r="N59" s="164">
        <f t="shared" si="3"/>
        <v>7588</v>
      </c>
      <c r="O59" s="127" t="s">
        <v>58</v>
      </c>
      <c r="P59" s="180" t="s">
        <v>59</v>
      </c>
      <c r="Q59" s="127" t="s">
        <v>41</v>
      </c>
      <c r="R59" s="269"/>
      <c r="S59" s="269"/>
      <c r="T59" s="108" t="s">
        <v>61</v>
      </c>
    </row>
    <row r="60" spans="2:20" x14ac:dyDescent="0.3">
      <c r="B60" s="289" t="s">
        <v>62</v>
      </c>
      <c r="C60" s="290" t="s">
        <v>56</v>
      </c>
      <c r="D60" s="215" t="s">
        <v>18</v>
      </c>
      <c r="E60" s="216">
        <f>CEILING((((7147+115)*1.15)-340)-150,50)</f>
        <v>7900</v>
      </c>
      <c r="F60" s="217">
        <v>340</v>
      </c>
      <c r="G60" s="217">
        <v>80</v>
      </c>
      <c r="H60" s="217">
        <v>18</v>
      </c>
      <c r="I60" s="217" t="s">
        <v>57</v>
      </c>
      <c r="J60" s="217">
        <v>75</v>
      </c>
      <c r="K60" s="217">
        <v>75</v>
      </c>
      <c r="L60" s="218">
        <f t="shared" si="2"/>
        <v>8488</v>
      </c>
      <c r="M60" s="219">
        <v>200</v>
      </c>
      <c r="N60" s="218">
        <f t="shared" si="3"/>
        <v>8688</v>
      </c>
      <c r="O60" s="220" t="s">
        <v>58</v>
      </c>
      <c r="P60" s="221" t="s">
        <v>59</v>
      </c>
      <c r="Q60" s="220" t="s">
        <v>41</v>
      </c>
      <c r="R60" s="291" t="s">
        <v>63</v>
      </c>
      <c r="S60" s="291"/>
      <c r="T60" s="108"/>
    </row>
    <row r="61" spans="2:20" x14ac:dyDescent="0.3">
      <c r="B61" s="289"/>
      <c r="C61" s="290"/>
      <c r="D61" s="215" t="s">
        <v>24</v>
      </c>
      <c r="E61" s="216">
        <f>CEILING((((8397+115)*1.15)-340)-150,50)</f>
        <v>9300</v>
      </c>
      <c r="F61" s="217">
        <v>340</v>
      </c>
      <c r="G61" s="217">
        <v>80</v>
      </c>
      <c r="H61" s="217">
        <v>18</v>
      </c>
      <c r="I61" s="217" t="s">
        <v>57</v>
      </c>
      <c r="J61" s="217">
        <v>75</v>
      </c>
      <c r="K61" s="217">
        <v>75</v>
      </c>
      <c r="L61" s="218">
        <f t="shared" si="2"/>
        <v>9888</v>
      </c>
      <c r="M61" s="219">
        <v>200</v>
      </c>
      <c r="N61" s="218">
        <f t="shared" si="3"/>
        <v>10088</v>
      </c>
      <c r="O61" s="220" t="s">
        <v>58</v>
      </c>
      <c r="P61" s="221" t="s">
        <v>59</v>
      </c>
      <c r="Q61" s="220" t="s">
        <v>41</v>
      </c>
      <c r="R61" s="291"/>
      <c r="S61" s="291"/>
      <c r="T61" s="108"/>
    </row>
    <row r="62" spans="2:20" ht="14.4" customHeight="1" x14ac:dyDescent="0.3">
      <c r="B62" s="275" t="s">
        <v>64</v>
      </c>
      <c r="C62" s="271" t="s">
        <v>56</v>
      </c>
      <c r="D62" s="123" t="s">
        <v>18</v>
      </c>
      <c r="E62" s="124">
        <f>CEILING((((5647+115)*1.15)-340)-150,50)</f>
        <v>6150</v>
      </c>
      <c r="F62" s="191">
        <v>340</v>
      </c>
      <c r="G62" s="191">
        <v>80</v>
      </c>
      <c r="H62" s="191">
        <v>18</v>
      </c>
      <c r="I62" s="191" t="s">
        <v>57</v>
      </c>
      <c r="J62" s="191">
        <v>75</v>
      </c>
      <c r="K62" s="191">
        <v>75</v>
      </c>
      <c r="L62" s="164">
        <f t="shared" si="2"/>
        <v>6738</v>
      </c>
      <c r="M62" s="171">
        <v>200</v>
      </c>
      <c r="N62" s="164">
        <f t="shared" si="3"/>
        <v>6938</v>
      </c>
      <c r="O62" s="127" t="s">
        <v>58</v>
      </c>
      <c r="P62" s="180" t="s">
        <v>59</v>
      </c>
      <c r="Q62" s="127" t="s">
        <v>41</v>
      </c>
      <c r="R62" s="269" t="s">
        <v>60</v>
      </c>
      <c r="S62" s="269"/>
      <c r="T62" s="108" t="s">
        <v>61</v>
      </c>
    </row>
    <row r="63" spans="2:20" x14ac:dyDescent="0.3">
      <c r="B63" s="275"/>
      <c r="C63" s="271"/>
      <c r="D63" s="123" t="s">
        <v>24</v>
      </c>
      <c r="E63" s="124">
        <f>CEILING((((6347+115)*1.15)-340)-150,50)</f>
        <v>6950</v>
      </c>
      <c r="F63" s="191">
        <v>340</v>
      </c>
      <c r="G63" s="191">
        <v>80</v>
      </c>
      <c r="H63" s="191">
        <v>18</v>
      </c>
      <c r="I63" s="191" t="s">
        <v>57</v>
      </c>
      <c r="J63" s="191">
        <v>75</v>
      </c>
      <c r="K63" s="191">
        <v>75</v>
      </c>
      <c r="L63" s="164">
        <f t="shared" si="2"/>
        <v>7538</v>
      </c>
      <c r="M63" s="171">
        <v>200</v>
      </c>
      <c r="N63" s="164">
        <f t="shared" si="3"/>
        <v>7738</v>
      </c>
      <c r="O63" s="127" t="s">
        <v>58</v>
      </c>
      <c r="P63" s="180" t="s">
        <v>59</v>
      </c>
      <c r="Q63" s="127" t="s">
        <v>41</v>
      </c>
      <c r="R63" s="269"/>
      <c r="S63" s="269"/>
      <c r="T63" s="108" t="s">
        <v>61</v>
      </c>
    </row>
    <row r="64" spans="2:20" ht="14.4" customHeight="1" x14ac:dyDescent="0.3">
      <c r="B64" s="279" t="s">
        <v>65</v>
      </c>
      <c r="C64" s="251" t="s">
        <v>31</v>
      </c>
      <c r="D64" s="94" t="s">
        <v>18</v>
      </c>
      <c r="E64" s="96">
        <f>CEILING(((5600+115+289)*1.15)-439,50)</f>
        <v>6500</v>
      </c>
      <c r="F64" s="70">
        <v>289</v>
      </c>
      <c r="G64" s="70">
        <v>84.38</v>
      </c>
      <c r="H64" s="70">
        <v>15</v>
      </c>
      <c r="I64" s="70">
        <v>40</v>
      </c>
      <c r="J64" s="70">
        <v>75</v>
      </c>
      <c r="K64" s="70">
        <v>75</v>
      </c>
      <c r="L64" s="71">
        <f t="shared" si="2"/>
        <v>7078.38</v>
      </c>
      <c r="M64" s="170">
        <v>200</v>
      </c>
      <c r="N64" s="71">
        <f t="shared" si="3"/>
        <v>7278.38</v>
      </c>
      <c r="O64" s="69" t="s">
        <v>58</v>
      </c>
      <c r="P64" s="180" t="s">
        <v>59</v>
      </c>
      <c r="Q64" s="69" t="s">
        <v>66</v>
      </c>
      <c r="R64" s="283" t="s">
        <v>67</v>
      </c>
      <c r="S64" s="284"/>
      <c r="T64" s="108" t="s">
        <v>68</v>
      </c>
    </row>
    <row r="65" spans="2:20" x14ac:dyDescent="0.3">
      <c r="B65" s="280"/>
      <c r="C65" s="281"/>
      <c r="D65" s="94" t="s">
        <v>24</v>
      </c>
      <c r="E65" s="96">
        <f>CEILING(((5800+115+289)*1.15)-439,50)</f>
        <v>6700</v>
      </c>
      <c r="F65" s="70">
        <v>289</v>
      </c>
      <c r="G65" s="70">
        <v>84.38</v>
      </c>
      <c r="H65" s="70">
        <v>15</v>
      </c>
      <c r="I65" s="70">
        <v>40</v>
      </c>
      <c r="J65" s="70">
        <v>75</v>
      </c>
      <c r="K65" s="70">
        <v>75</v>
      </c>
      <c r="L65" s="71">
        <f t="shared" si="2"/>
        <v>7278.38</v>
      </c>
      <c r="M65" s="170">
        <v>200</v>
      </c>
      <c r="N65" s="71">
        <f t="shared" si="3"/>
        <v>7478.38</v>
      </c>
      <c r="O65" s="69" t="s">
        <v>58</v>
      </c>
      <c r="P65" s="180" t="s">
        <v>59</v>
      </c>
      <c r="Q65" s="69" t="s">
        <v>66</v>
      </c>
      <c r="R65" s="285"/>
      <c r="S65" s="286"/>
      <c r="T65" s="108" t="s">
        <v>68</v>
      </c>
    </row>
    <row r="66" spans="2:20" ht="14.4" customHeight="1" x14ac:dyDescent="0.3">
      <c r="B66" s="282" t="s">
        <v>69</v>
      </c>
      <c r="C66" s="226" t="s">
        <v>56</v>
      </c>
      <c r="D66" s="94" t="s">
        <v>18</v>
      </c>
      <c r="E66" s="124">
        <f>CEILING((((5547+115)*1.15)-340)-150,50)</f>
        <v>6050</v>
      </c>
      <c r="F66" s="70">
        <v>340</v>
      </c>
      <c r="G66" s="70">
        <v>80</v>
      </c>
      <c r="H66" s="70">
        <v>18</v>
      </c>
      <c r="I66" s="70" t="s">
        <v>57</v>
      </c>
      <c r="J66" s="70">
        <v>75</v>
      </c>
      <c r="K66" s="70">
        <v>75</v>
      </c>
      <c r="L66" s="71">
        <f t="shared" si="2"/>
        <v>6638</v>
      </c>
      <c r="M66" s="170">
        <v>200</v>
      </c>
      <c r="N66" s="71">
        <f t="shared" si="3"/>
        <v>6838</v>
      </c>
      <c r="O66" s="69" t="s">
        <v>58</v>
      </c>
      <c r="P66" s="180" t="s">
        <v>59</v>
      </c>
      <c r="Q66" s="69" t="s">
        <v>41</v>
      </c>
      <c r="R66" s="269" t="s">
        <v>60</v>
      </c>
      <c r="S66" s="269"/>
      <c r="T66" s="108" t="s">
        <v>61</v>
      </c>
    </row>
    <row r="67" spans="2:20" x14ac:dyDescent="0.3">
      <c r="B67" s="282"/>
      <c r="C67" s="226"/>
      <c r="D67" s="94" t="s">
        <v>24</v>
      </c>
      <c r="E67" s="124">
        <f>CEILING((((6197+115)*1.15)-340)-150,50)</f>
        <v>6800</v>
      </c>
      <c r="F67" s="70">
        <v>340</v>
      </c>
      <c r="G67" s="70">
        <v>80</v>
      </c>
      <c r="H67" s="70">
        <v>18</v>
      </c>
      <c r="I67" s="70" t="s">
        <v>57</v>
      </c>
      <c r="J67" s="70">
        <v>75</v>
      </c>
      <c r="K67" s="70">
        <v>75</v>
      </c>
      <c r="L67" s="71">
        <f t="shared" si="2"/>
        <v>7388</v>
      </c>
      <c r="M67" s="170">
        <v>200</v>
      </c>
      <c r="N67" s="71">
        <f t="shared" si="3"/>
        <v>7588</v>
      </c>
      <c r="O67" s="69" t="s">
        <v>58</v>
      </c>
      <c r="P67" s="180" t="s">
        <v>59</v>
      </c>
      <c r="Q67" s="69" t="s">
        <v>41</v>
      </c>
      <c r="R67" s="269"/>
      <c r="S67" s="269"/>
      <c r="T67" s="108" t="s">
        <v>61</v>
      </c>
    </row>
    <row r="68" spans="2:20" ht="14.4" customHeight="1" x14ac:dyDescent="0.3">
      <c r="B68" s="279" t="s">
        <v>70</v>
      </c>
      <c r="C68" s="251" t="s">
        <v>31</v>
      </c>
      <c r="D68" s="94" t="s">
        <v>18</v>
      </c>
      <c r="E68" s="96">
        <f>CEILING(((5650+115+289)*1.15)-439,50)</f>
        <v>6550</v>
      </c>
      <c r="F68" s="188">
        <v>289</v>
      </c>
      <c r="G68" s="188">
        <v>84.38</v>
      </c>
      <c r="H68" s="188">
        <v>15</v>
      </c>
      <c r="I68" s="188">
        <v>40</v>
      </c>
      <c r="J68" s="188">
        <v>75</v>
      </c>
      <c r="K68" s="188">
        <v>75</v>
      </c>
      <c r="L68" s="71">
        <f t="shared" si="2"/>
        <v>7128.38</v>
      </c>
      <c r="M68" s="170">
        <v>200</v>
      </c>
      <c r="N68" s="71">
        <f t="shared" si="3"/>
        <v>7328.38</v>
      </c>
      <c r="O68" s="69" t="s">
        <v>58</v>
      </c>
      <c r="P68" s="180" t="s">
        <v>59</v>
      </c>
      <c r="Q68" s="69" t="s">
        <v>66</v>
      </c>
      <c r="R68" s="283" t="s">
        <v>67</v>
      </c>
      <c r="S68" s="284"/>
      <c r="T68" s="108" t="s">
        <v>68</v>
      </c>
    </row>
    <row r="69" spans="2:20" x14ac:dyDescent="0.3">
      <c r="B69" s="280"/>
      <c r="C69" s="281"/>
      <c r="D69" s="94" t="s">
        <v>24</v>
      </c>
      <c r="E69" s="96">
        <f>CEILING(((5900+115+289)*1.15)-439,50)</f>
        <v>6850</v>
      </c>
      <c r="F69" s="188">
        <v>289</v>
      </c>
      <c r="G69" s="188">
        <v>84.38</v>
      </c>
      <c r="H69" s="188">
        <v>15</v>
      </c>
      <c r="I69" s="188">
        <v>40</v>
      </c>
      <c r="J69" s="188">
        <v>75</v>
      </c>
      <c r="K69" s="188">
        <v>75</v>
      </c>
      <c r="L69" s="71">
        <f t="shared" si="2"/>
        <v>7428.38</v>
      </c>
      <c r="M69" s="170">
        <v>200</v>
      </c>
      <c r="N69" s="71">
        <f t="shared" si="3"/>
        <v>7628.38</v>
      </c>
      <c r="O69" s="69" t="s">
        <v>58</v>
      </c>
      <c r="P69" s="180" t="s">
        <v>59</v>
      </c>
      <c r="Q69" s="69" t="s">
        <v>66</v>
      </c>
      <c r="R69" s="285"/>
      <c r="S69" s="286"/>
      <c r="T69" s="108" t="s">
        <v>68</v>
      </c>
    </row>
    <row r="70" spans="2:20" ht="14.4" customHeight="1" x14ac:dyDescent="0.3">
      <c r="B70" s="273" t="s">
        <v>71</v>
      </c>
      <c r="C70" s="260" t="s">
        <v>56</v>
      </c>
      <c r="D70" s="94" t="s">
        <v>18</v>
      </c>
      <c r="E70" s="124">
        <f>CEILING((((5677+115)*1.15)-340)-150,50)</f>
        <v>6200</v>
      </c>
      <c r="F70" s="188">
        <v>340</v>
      </c>
      <c r="G70" s="188">
        <v>80</v>
      </c>
      <c r="H70" s="188">
        <v>18</v>
      </c>
      <c r="I70" s="188" t="s">
        <v>57</v>
      </c>
      <c r="J70" s="188">
        <v>75</v>
      </c>
      <c r="K70" s="188">
        <v>75</v>
      </c>
      <c r="L70" s="71">
        <f t="shared" si="2"/>
        <v>6788</v>
      </c>
      <c r="M70" s="170">
        <v>200</v>
      </c>
      <c r="N70" s="71">
        <f t="shared" si="3"/>
        <v>6988</v>
      </c>
      <c r="O70" s="69" t="s">
        <v>58</v>
      </c>
      <c r="P70" s="180" t="s">
        <v>59</v>
      </c>
      <c r="Q70" s="189" t="s">
        <v>41</v>
      </c>
      <c r="R70" s="269" t="s">
        <v>60</v>
      </c>
      <c r="S70" s="269"/>
      <c r="T70" s="108" t="s">
        <v>61</v>
      </c>
    </row>
    <row r="71" spans="2:20" x14ac:dyDescent="0.3">
      <c r="B71" s="274"/>
      <c r="C71" s="268"/>
      <c r="D71" s="123" t="s">
        <v>24</v>
      </c>
      <c r="E71" s="124">
        <f>CEILING((((6452+115)*1.15)-340)-150,50)</f>
        <v>7100</v>
      </c>
      <c r="F71" s="191">
        <v>340</v>
      </c>
      <c r="G71" s="191">
        <v>80</v>
      </c>
      <c r="H71" s="191">
        <v>18</v>
      </c>
      <c r="I71" s="191" t="s">
        <v>57</v>
      </c>
      <c r="J71" s="191">
        <v>75</v>
      </c>
      <c r="K71" s="191">
        <v>75</v>
      </c>
      <c r="L71" s="164">
        <f t="shared" si="2"/>
        <v>7688</v>
      </c>
      <c r="M71" s="171">
        <v>200</v>
      </c>
      <c r="N71" s="164">
        <f t="shared" si="3"/>
        <v>7888</v>
      </c>
      <c r="O71" s="127" t="s">
        <v>58</v>
      </c>
      <c r="P71" s="180" t="s">
        <v>59</v>
      </c>
      <c r="Q71" s="178" t="s">
        <v>41</v>
      </c>
      <c r="R71" s="269"/>
      <c r="S71" s="269"/>
      <c r="T71" s="108" t="s">
        <v>61</v>
      </c>
    </row>
    <row r="72" spans="2:20" ht="14.4" customHeight="1" x14ac:dyDescent="0.3">
      <c r="B72" s="273" t="s">
        <v>72</v>
      </c>
      <c r="C72" s="260" t="s">
        <v>56</v>
      </c>
      <c r="D72" s="123" t="s">
        <v>18</v>
      </c>
      <c r="E72" s="124">
        <f>CEILING((((5713+115)*1.15)-340)-150,50)</f>
        <v>6250</v>
      </c>
      <c r="F72" s="191">
        <v>340</v>
      </c>
      <c r="G72" s="191">
        <v>80</v>
      </c>
      <c r="H72" s="191">
        <v>18</v>
      </c>
      <c r="I72" s="191" t="s">
        <v>57</v>
      </c>
      <c r="J72" s="191">
        <v>75</v>
      </c>
      <c r="K72" s="191">
        <v>75</v>
      </c>
      <c r="L72" s="164">
        <f t="shared" si="2"/>
        <v>6838</v>
      </c>
      <c r="M72" s="170">
        <v>200</v>
      </c>
      <c r="N72" s="164">
        <f t="shared" si="3"/>
        <v>7038</v>
      </c>
      <c r="O72" s="127" t="s">
        <v>58</v>
      </c>
      <c r="P72" s="180" t="s">
        <v>59</v>
      </c>
      <c r="Q72" s="178" t="s">
        <v>41</v>
      </c>
      <c r="R72" s="269" t="s">
        <v>60</v>
      </c>
      <c r="S72" s="269"/>
      <c r="T72" s="108" t="s">
        <v>61</v>
      </c>
    </row>
    <row r="73" spans="2:20" x14ac:dyDescent="0.3">
      <c r="B73" s="274"/>
      <c r="C73" s="268"/>
      <c r="D73" s="123" t="s">
        <v>24</v>
      </c>
      <c r="E73" s="124">
        <f>CEILING((((6450+115)*1.15)-340)-150,50)</f>
        <v>7100</v>
      </c>
      <c r="F73" s="191">
        <v>340</v>
      </c>
      <c r="G73" s="191">
        <v>80</v>
      </c>
      <c r="H73" s="191">
        <v>18</v>
      </c>
      <c r="I73" s="191" t="s">
        <v>57</v>
      </c>
      <c r="J73" s="191">
        <v>75</v>
      </c>
      <c r="K73" s="191">
        <v>75</v>
      </c>
      <c r="L73" s="164">
        <f t="shared" si="2"/>
        <v>7688</v>
      </c>
      <c r="M73" s="170">
        <v>200</v>
      </c>
      <c r="N73" s="164">
        <f t="shared" si="3"/>
        <v>7888</v>
      </c>
      <c r="O73" s="127" t="s">
        <v>58</v>
      </c>
      <c r="P73" s="180" t="s">
        <v>59</v>
      </c>
      <c r="Q73" s="178" t="s">
        <v>41</v>
      </c>
      <c r="R73" s="269"/>
      <c r="S73" s="269"/>
      <c r="T73" s="108" t="s">
        <v>61</v>
      </c>
    </row>
    <row r="74" spans="2:20" ht="34.200000000000003" customHeight="1" x14ac:dyDescent="0.3">
      <c r="B74" s="275" t="s">
        <v>73</v>
      </c>
      <c r="C74" s="276" t="s">
        <v>31</v>
      </c>
      <c r="D74" s="176" t="s">
        <v>18</v>
      </c>
      <c r="E74" s="124">
        <f>CEILING(((5900+115+340)*1.15)-490,50)</f>
        <v>6850</v>
      </c>
      <c r="F74" s="177">
        <v>340</v>
      </c>
      <c r="G74" s="177">
        <v>97.87</v>
      </c>
      <c r="H74" s="177">
        <v>15</v>
      </c>
      <c r="I74" s="177">
        <v>40</v>
      </c>
      <c r="J74" s="177">
        <v>75</v>
      </c>
      <c r="K74" s="177">
        <v>75</v>
      </c>
      <c r="L74" s="71">
        <f t="shared" si="2"/>
        <v>7492.87</v>
      </c>
      <c r="M74" s="170">
        <v>200</v>
      </c>
      <c r="N74" s="71">
        <f t="shared" si="3"/>
        <v>7692.87</v>
      </c>
      <c r="O74" s="69" t="s">
        <v>58</v>
      </c>
      <c r="P74" s="180" t="s">
        <v>59</v>
      </c>
      <c r="Q74" s="179" t="s">
        <v>74</v>
      </c>
      <c r="R74" s="278" t="s">
        <v>75</v>
      </c>
      <c r="S74" s="278"/>
      <c r="T74" s="108" t="s">
        <v>76</v>
      </c>
    </row>
    <row r="75" spans="2:20" ht="31.2" customHeight="1" x14ac:dyDescent="0.3">
      <c r="B75" s="275"/>
      <c r="C75" s="277"/>
      <c r="D75" s="176" t="s">
        <v>24</v>
      </c>
      <c r="E75" s="124">
        <f>CEILING(((6000+115+340)*1.15)-490,50)</f>
        <v>6950</v>
      </c>
      <c r="F75" s="177">
        <v>340</v>
      </c>
      <c r="G75" s="177">
        <v>97.87</v>
      </c>
      <c r="H75" s="177">
        <v>15</v>
      </c>
      <c r="I75" s="177">
        <v>40</v>
      </c>
      <c r="J75" s="177">
        <v>75</v>
      </c>
      <c r="K75" s="177">
        <v>75</v>
      </c>
      <c r="L75" s="71">
        <f t="shared" si="2"/>
        <v>7592.87</v>
      </c>
      <c r="M75" s="170">
        <v>200</v>
      </c>
      <c r="N75" s="71">
        <f t="shared" si="3"/>
        <v>7792.87</v>
      </c>
      <c r="O75" s="69" t="s">
        <v>58</v>
      </c>
      <c r="P75" s="180" t="s">
        <v>59</v>
      </c>
      <c r="Q75" s="179" t="s">
        <v>74</v>
      </c>
      <c r="R75" s="278" t="s">
        <v>75</v>
      </c>
      <c r="S75" s="278"/>
      <c r="T75" s="108" t="s">
        <v>76</v>
      </c>
    </row>
    <row r="76" spans="2:20" ht="14.4" customHeight="1" x14ac:dyDescent="0.3">
      <c r="B76" s="270" t="s">
        <v>77</v>
      </c>
      <c r="C76" s="271" t="s">
        <v>56</v>
      </c>
      <c r="D76" s="123" t="s">
        <v>18</v>
      </c>
      <c r="E76" s="124">
        <f>CEILING((((5778+115)*1.15)-340)-150,50)</f>
        <v>6300</v>
      </c>
      <c r="F76" s="191">
        <v>340</v>
      </c>
      <c r="G76" s="191">
        <v>80</v>
      </c>
      <c r="H76" s="191">
        <v>18</v>
      </c>
      <c r="I76" s="191" t="s">
        <v>57</v>
      </c>
      <c r="J76" s="191">
        <v>75</v>
      </c>
      <c r="K76" s="191">
        <v>75</v>
      </c>
      <c r="L76" s="71">
        <f t="shared" si="2"/>
        <v>6888</v>
      </c>
      <c r="M76" s="170">
        <v>200</v>
      </c>
      <c r="N76" s="71">
        <f t="shared" si="3"/>
        <v>7088</v>
      </c>
      <c r="O76" s="69" t="s">
        <v>58</v>
      </c>
      <c r="P76" s="180" t="s">
        <v>59</v>
      </c>
      <c r="Q76" s="178" t="s">
        <v>41</v>
      </c>
      <c r="R76" s="269" t="s">
        <v>60</v>
      </c>
      <c r="S76" s="269"/>
      <c r="T76" s="108" t="s">
        <v>61</v>
      </c>
    </row>
    <row r="77" spans="2:20" x14ac:dyDescent="0.3">
      <c r="B77" s="270"/>
      <c r="C77" s="271"/>
      <c r="D77" s="123" t="s">
        <v>24</v>
      </c>
      <c r="E77" s="124">
        <f>CEILING((((6659+115)*1.15)-340)-150,50)</f>
        <v>7350</v>
      </c>
      <c r="F77" s="191">
        <v>340</v>
      </c>
      <c r="G77" s="191">
        <v>80</v>
      </c>
      <c r="H77" s="191">
        <v>18</v>
      </c>
      <c r="I77" s="191" t="s">
        <v>57</v>
      </c>
      <c r="J77" s="191">
        <v>75</v>
      </c>
      <c r="K77" s="191">
        <v>75</v>
      </c>
      <c r="L77" s="71">
        <f t="shared" si="2"/>
        <v>7938</v>
      </c>
      <c r="M77" s="170">
        <v>200</v>
      </c>
      <c r="N77" s="71">
        <f t="shared" si="3"/>
        <v>8138</v>
      </c>
      <c r="O77" s="69" t="s">
        <v>58</v>
      </c>
      <c r="P77" s="180" t="s">
        <v>59</v>
      </c>
      <c r="Q77" s="178" t="s">
        <v>41</v>
      </c>
      <c r="R77" s="269"/>
      <c r="S77" s="269"/>
      <c r="T77" s="108" t="s">
        <v>61</v>
      </c>
    </row>
    <row r="78" spans="2:20" ht="14.4" customHeight="1" x14ac:dyDescent="0.3">
      <c r="B78" s="270" t="s">
        <v>78</v>
      </c>
      <c r="C78" s="271" t="s">
        <v>56</v>
      </c>
      <c r="D78" s="123" t="s">
        <v>18</v>
      </c>
      <c r="E78" s="124">
        <f>CEILING((((5647+115)*1.15)-340)-150,50)</f>
        <v>6150</v>
      </c>
      <c r="F78" s="191">
        <v>340</v>
      </c>
      <c r="G78" s="191">
        <v>80</v>
      </c>
      <c r="H78" s="191">
        <v>18</v>
      </c>
      <c r="I78" s="191" t="s">
        <v>57</v>
      </c>
      <c r="J78" s="191">
        <v>75</v>
      </c>
      <c r="K78" s="191">
        <v>75</v>
      </c>
      <c r="L78" s="164">
        <f t="shared" si="2"/>
        <v>6738</v>
      </c>
      <c r="M78" s="171">
        <v>200</v>
      </c>
      <c r="N78" s="164">
        <f t="shared" si="3"/>
        <v>6938</v>
      </c>
      <c r="O78" s="127" t="s">
        <v>58</v>
      </c>
      <c r="P78" s="180" t="s">
        <v>59</v>
      </c>
      <c r="Q78" s="178" t="s">
        <v>41</v>
      </c>
      <c r="R78" s="269" t="s">
        <v>60</v>
      </c>
      <c r="S78" s="269"/>
      <c r="T78" s="108" t="s">
        <v>61</v>
      </c>
    </row>
    <row r="79" spans="2:20" x14ac:dyDescent="0.3">
      <c r="B79" s="270"/>
      <c r="C79" s="271"/>
      <c r="D79" s="123" t="s">
        <v>24</v>
      </c>
      <c r="E79" s="124">
        <f>CEILING((((6397+115)*1.15)-340)-150,50)</f>
        <v>7000</v>
      </c>
      <c r="F79" s="191">
        <v>340</v>
      </c>
      <c r="G79" s="191">
        <v>80</v>
      </c>
      <c r="H79" s="191">
        <v>18</v>
      </c>
      <c r="I79" s="191" t="s">
        <v>57</v>
      </c>
      <c r="J79" s="191">
        <v>75</v>
      </c>
      <c r="K79" s="191">
        <v>75</v>
      </c>
      <c r="L79" s="164">
        <f t="shared" si="2"/>
        <v>7588</v>
      </c>
      <c r="M79" s="171">
        <v>200</v>
      </c>
      <c r="N79" s="164">
        <f t="shared" si="3"/>
        <v>7788</v>
      </c>
      <c r="O79" s="127" t="s">
        <v>58</v>
      </c>
      <c r="P79" s="180" t="s">
        <v>59</v>
      </c>
      <c r="Q79" s="178" t="s">
        <v>41</v>
      </c>
      <c r="R79" s="269"/>
      <c r="S79" s="269"/>
      <c r="T79" s="108" t="s">
        <v>61</v>
      </c>
    </row>
    <row r="80" spans="2:20" ht="14.4" customHeight="1" x14ac:dyDescent="0.3">
      <c r="B80" s="270" t="s">
        <v>79</v>
      </c>
      <c r="C80" s="271" t="s">
        <v>56</v>
      </c>
      <c r="D80" s="123" t="s">
        <v>18</v>
      </c>
      <c r="E80" s="124">
        <f t="shared" ref="E80" si="4">CEILING((((5778+115)*1.15)-340)-150,50)</f>
        <v>6300</v>
      </c>
      <c r="F80" s="191">
        <v>340</v>
      </c>
      <c r="G80" s="191">
        <v>80</v>
      </c>
      <c r="H80" s="191">
        <v>18</v>
      </c>
      <c r="I80" s="191" t="s">
        <v>57</v>
      </c>
      <c r="J80" s="191">
        <v>75</v>
      </c>
      <c r="K80" s="191">
        <v>75</v>
      </c>
      <c r="L80" s="192">
        <f t="shared" si="2"/>
        <v>6888</v>
      </c>
      <c r="M80" s="193">
        <v>200</v>
      </c>
      <c r="N80" s="192">
        <f t="shared" si="3"/>
        <v>7088</v>
      </c>
      <c r="O80" s="178" t="s">
        <v>58</v>
      </c>
      <c r="P80" s="180" t="s">
        <v>59</v>
      </c>
      <c r="Q80" s="178" t="s">
        <v>41</v>
      </c>
      <c r="R80" s="269" t="s">
        <v>60</v>
      </c>
      <c r="S80" s="269"/>
      <c r="T80" s="108" t="s">
        <v>61</v>
      </c>
    </row>
    <row r="81" spans="2:20" ht="15" customHeight="1" thickBot="1" x14ac:dyDescent="0.35">
      <c r="B81" s="270"/>
      <c r="C81" s="271"/>
      <c r="D81" s="123" t="s">
        <v>24</v>
      </c>
      <c r="E81" s="124">
        <f t="shared" ref="E81" si="5">CEILING((((6659+115)*1.15)-340)-150,50)</f>
        <v>7350</v>
      </c>
      <c r="F81" s="191">
        <v>340</v>
      </c>
      <c r="G81" s="191">
        <v>80</v>
      </c>
      <c r="H81" s="191">
        <v>18</v>
      </c>
      <c r="I81" s="191" t="s">
        <v>57</v>
      </c>
      <c r="J81" s="191">
        <v>75</v>
      </c>
      <c r="K81" s="191">
        <v>75</v>
      </c>
      <c r="L81" s="192">
        <f t="shared" si="2"/>
        <v>7938</v>
      </c>
      <c r="M81" s="193">
        <v>200</v>
      </c>
      <c r="N81" s="192">
        <f t="shared" si="3"/>
        <v>8138</v>
      </c>
      <c r="O81" s="178" t="s">
        <v>58</v>
      </c>
      <c r="P81" s="180" t="s">
        <v>59</v>
      </c>
      <c r="Q81" s="178" t="s">
        <v>41</v>
      </c>
      <c r="R81" s="269"/>
      <c r="S81" s="269"/>
      <c r="T81" s="108" t="s">
        <v>61</v>
      </c>
    </row>
    <row r="82" spans="2:20" ht="28.8" x14ac:dyDescent="0.3">
      <c r="B82" s="222" t="s">
        <v>80</v>
      </c>
      <c r="C82" s="223"/>
      <c r="D82" s="223"/>
      <c r="E82" s="223"/>
      <c r="F82" s="223"/>
      <c r="G82" s="223"/>
      <c r="H82" s="223"/>
      <c r="I82" s="223"/>
      <c r="J82" s="223"/>
      <c r="K82" s="223"/>
      <c r="L82" s="223"/>
      <c r="M82" s="223"/>
      <c r="N82" s="223"/>
      <c r="O82" s="223"/>
      <c r="P82" s="223"/>
      <c r="Q82" s="223"/>
      <c r="R82" s="257"/>
      <c r="S82" s="272"/>
      <c r="T82" s="108"/>
    </row>
    <row r="83" spans="2:20" ht="28.8" x14ac:dyDescent="0.3">
      <c r="B83" s="72" t="s">
        <v>1</v>
      </c>
      <c r="C83" s="246" t="s">
        <v>2</v>
      </c>
      <c r="D83" s="247"/>
      <c r="E83" s="98" t="s">
        <v>3</v>
      </c>
      <c r="F83" s="98" t="s">
        <v>4</v>
      </c>
      <c r="G83" s="98" t="s">
        <v>5</v>
      </c>
      <c r="H83" s="98" t="s">
        <v>6</v>
      </c>
      <c r="I83" s="3" t="s">
        <v>51</v>
      </c>
      <c r="J83" s="3" t="s">
        <v>52</v>
      </c>
      <c r="K83" s="3" t="s">
        <v>53</v>
      </c>
      <c r="L83" s="3" t="s">
        <v>54</v>
      </c>
      <c r="M83" s="3" t="s">
        <v>10</v>
      </c>
      <c r="N83" s="3" t="s">
        <v>11</v>
      </c>
      <c r="O83" s="3" t="s">
        <v>12</v>
      </c>
      <c r="P83" s="98" t="s">
        <v>13</v>
      </c>
      <c r="Q83" s="98" t="s">
        <v>14</v>
      </c>
      <c r="R83" s="246" t="s">
        <v>38</v>
      </c>
      <c r="S83" s="248"/>
      <c r="T83" s="108"/>
    </row>
    <row r="84" spans="2:20" ht="14.4" customHeight="1" x14ac:dyDescent="0.3">
      <c r="B84" s="258" t="s">
        <v>81</v>
      </c>
      <c r="C84" s="260" t="s">
        <v>82</v>
      </c>
      <c r="D84" s="123" t="s">
        <v>18</v>
      </c>
      <c r="E84" s="124">
        <f>CEILING((((5547+115)*1.15)-340)-150,50)</f>
        <v>6050</v>
      </c>
      <c r="F84" s="191">
        <v>340</v>
      </c>
      <c r="G84" s="191">
        <v>80</v>
      </c>
      <c r="H84" s="191">
        <v>18</v>
      </c>
      <c r="I84" s="191" t="s">
        <v>57</v>
      </c>
      <c r="J84" s="70">
        <v>75</v>
      </c>
      <c r="K84" s="70">
        <v>75</v>
      </c>
      <c r="L84" s="164">
        <f>SUM(E84:K84)</f>
        <v>6638</v>
      </c>
      <c r="M84" s="194">
        <v>200</v>
      </c>
      <c r="N84" s="164">
        <f>SUM(L84:M84)</f>
        <v>6838</v>
      </c>
      <c r="O84" s="127" t="s">
        <v>58</v>
      </c>
      <c r="P84" s="180" t="s">
        <v>59</v>
      </c>
      <c r="Q84" s="178" t="s">
        <v>41</v>
      </c>
      <c r="R84" s="269" t="s">
        <v>60</v>
      </c>
      <c r="S84" s="269"/>
      <c r="T84" s="108" t="s">
        <v>61</v>
      </c>
    </row>
    <row r="85" spans="2:20" ht="15" thickBot="1" x14ac:dyDescent="0.35">
      <c r="B85" s="267"/>
      <c r="C85" s="268"/>
      <c r="D85" s="123" t="s">
        <v>24</v>
      </c>
      <c r="E85" s="124">
        <f>CEILING((((6197+115)*1.15)-340)-150,50)</f>
        <v>6800</v>
      </c>
      <c r="F85" s="191">
        <v>340</v>
      </c>
      <c r="G85" s="191">
        <v>80</v>
      </c>
      <c r="H85" s="191">
        <v>18</v>
      </c>
      <c r="I85" s="191" t="s">
        <v>57</v>
      </c>
      <c r="J85" s="70">
        <v>75</v>
      </c>
      <c r="K85" s="70">
        <v>75</v>
      </c>
      <c r="L85" s="164">
        <f>SUM(E85:K85)</f>
        <v>7388</v>
      </c>
      <c r="M85" s="194">
        <v>200</v>
      </c>
      <c r="N85" s="164">
        <f>SUM(L85:M85)</f>
        <v>7588</v>
      </c>
      <c r="O85" s="127" t="s">
        <v>58</v>
      </c>
      <c r="P85" s="180" t="s">
        <v>59</v>
      </c>
      <c r="Q85" s="178" t="s">
        <v>41</v>
      </c>
      <c r="R85" s="269"/>
      <c r="S85" s="269"/>
      <c r="T85" s="108" t="s">
        <v>61</v>
      </c>
    </row>
    <row r="86" spans="2:20" ht="28.8" x14ac:dyDescent="0.3">
      <c r="B86" s="222" t="s">
        <v>83</v>
      </c>
      <c r="C86" s="223"/>
      <c r="D86" s="223"/>
      <c r="E86" s="223"/>
      <c r="F86" s="223"/>
      <c r="G86" s="223"/>
      <c r="H86" s="223"/>
      <c r="I86" s="223"/>
      <c r="J86" s="223"/>
      <c r="K86" s="223"/>
      <c r="L86" s="223"/>
      <c r="M86" s="223"/>
      <c r="N86" s="223"/>
      <c r="O86" s="223"/>
      <c r="P86" s="223"/>
      <c r="Q86" s="223"/>
      <c r="R86" s="223"/>
      <c r="S86" s="245"/>
      <c r="T86" s="108"/>
    </row>
    <row r="87" spans="2:20" ht="28.8" x14ac:dyDescent="0.3">
      <c r="B87" s="72" t="s">
        <v>1</v>
      </c>
      <c r="C87" s="246" t="s">
        <v>2</v>
      </c>
      <c r="D87" s="247"/>
      <c r="E87" s="98" t="s">
        <v>3</v>
      </c>
      <c r="F87" s="98" t="s">
        <v>4</v>
      </c>
      <c r="G87" s="98" t="s">
        <v>5</v>
      </c>
      <c r="H87" s="98" t="s">
        <v>6</v>
      </c>
      <c r="I87" s="3" t="s">
        <v>51</v>
      </c>
      <c r="J87" s="3" t="s">
        <v>52</v>
      </c>
      <c r="K87" s="3" t="s">
        <v>53</v>
      </c>
      <c r="L87" s="3" t="s">
        <v>54</v>
      </c>
      <c r="M87" s="3" t="s">
        <v>10</v>
      </c>
      <c r="N87" s="3" t="s">
        <v>11</v>
      </c>
      <c r="O87" s="3" t="s">
        <v>12</v>
      </c>
      <c r="P87" s="98" t="s">
        <v>13</v>
      </c>
      <c r="Q87" s="98" t="s">
        <v>14</v>
      </c>
      <c r="R87" s="246" t="s">
        <v>38</v>
      </c>
      <c r="S87" s="248"/>
      <c r="T87" s="108"/>
    </row>
    <row r="88" spans="2:20" ht="14.4" customHeight="1" x14ac:dyDescent="0.3">
      <c r="B88" s="258" t="s">
        <v>84</v>
      </c>
      <c r="C88" s="260" t="s">
        <v>82</v>
      </c>
      <c r="D88" s="123" t="s">
        <v>18</v>
      </c>
      <c r="E88" s="124">
        <f>CEILING((((5547+115)*1.15)-340)-150,50)</f>
        <v>6050</v>
      </c>
      <c r="F88" s="194">
        <v>340</v>
      </c>
      <c r="G88" s="194">
        <v>80</v>
      </c>
      <c r="H88" s="194">
        <v>18</v>
      </c>
      <c r="I88" s="194" t="s">
        <v>57</v>
      </c>
      <c r="J88" s="194">
        <v>75</v>
      </c>
      <c r="K88" s="194">
        <v>75</v>
      </c>
      <c r="L88" s="164">
        <f>SUM(E88:K88)</f>
        <v>6638</v>
      </c>
      <c r="M88" s="194">
        <v>200</v>
      </c>
      <c r="N88" s="164">
        <f>SUM(L88:M88)</f>
        <v>6838</v>
      </c>
      <c r="O88" s="127" t="s">
        <v>85</v>
      </c>
      <c r="P88" s="180" t="s">
        <v>59</v>
      </c>
      <c r="Q88" s="127" t="s">
        <v>41</v>
      </c>
      <c r="R88" s="269" t="s">
        <v>60</v>
      </c>
      <c r="S88" s="269"/>
      <c r="T88" s="108" t="s">
        <v>61</v>
      </c>
    </row>
    <row r="89" spans="2:20" x14ac:dyDescent="0.3">
      <c r="B89" s="267"/>
      <c r="C89" s="268"/>
      <c r="D89" s="123" t="s">
        <v>24</v>
      </c>
      <c r="E89" s="124">
        <f>CEILING((((6197+115)*1.15)-340)-150,50)</f>
        <v>6800</v>
      </c>
      <c r="F89" s="194">
        <v>340</v>
      </c>
      <c r="G89" s="194">
        <v>80</v>
      </c>
      <c r="H89" s="194">
        <v>18</v>
      </c>
      <c r="I89" s="194" t="s">
        <v>57</v>
      </c>
      <c r="J89" s="194">
        <v>75</v>
      </c>
      <c r="K89" s="194">
        <v>75</v>
      </c>
      <c r="L89" s="164">
        <f>SUM(E89:K89)</f>
        <v>7388</v>
      </c>
      <c r="M89" s="194">
        <v>200</v>
      </c>
      <c r="N89" s="164">
        <f>SUM(L89:M89)</f>
        <v>7588</v>
      </c>
      <c r="O89" s="127" t="s">
        <v>85</v>
      </c>
      <c r="P89" s="180" t="s">
        <v>59</v>
      </c>
      <c r="Q89" s="127" t="s">
        <v>41</v>
      </c>
      <c r="R89" s="269"/>
      <c r="S89" s="269"/>
      <c r="T89" s="108" t="s">
        <v>61</v>
      </c>
    </row>
    <row r="90" spans="2:20" ht="28.8" x14ac:dyDescent="0.3">
      <c r="B90" s="263" t="s">
        <v>86</v>
      </c>
      <c r="C90" s="264"/>
      <c r="D90" s="264"/>
      <c r="E90" s="264"/>
      <c r="F90" s="264"/>
      <c r="G90" s="264"/>
      <c r="H90" s="264"/>
      <c r="I90" s="264"/>
      <c r="J90" s="264"/>
      <c r="K90" s="264"/>
      <c r="L90" s="264"/>
      <c r="M90" s="264"/>
      <c r="N90" s="264"/>
      <c r="O90" s="264"/>
      <c r="P90" s="264"/>
      <c r="Q90" s="264"/>
      <c r="R90" s="264"/>
      <c r="S90" s="265"/>
      <c r="T90" s="108"/>
    </row>
    <row r="91" spans="2:20" ht="28.8" x14ac:dyDescent="0.3">
      <c r="B91" s="72" t="s">
        <v>1</v>
      </c>
      <c r="C91" s="246" t="s">
        <v>2</v>
      </c>
      <c r="D91" s="247"/>
      <c r="E91" s="98" t="s">
        <v>3</v>
      </c>
      <c r="F91" s="98" t="s">
        <v>4</v>
      </c>
      <c r="G91" s="98" t="s">
        <v>5</v>
      </c>
      <c r="H91" s="98" t="s">
        <v>6</v>
      </c>
      <c r="I91" s="3" t="s">
        <v>51</v>
      </c>
      <c r="J91" s="3" t="s">
        <v>52</v>
      </c>
      <c r="K91" s="3" t="s">
        <v>53</v>
      </c>
      <c r="L91" s="3" t="s">
        <v>54</v>
      </c>
      <c r="M91" s="3" t="s">
        <v>10</v>
      </c>
      <c r="N91" s="3" t="s">
        <v>11</v>
      </c>
      <c r="O91" s="3" t="s">
        <v>12</v>
      </c>
      <c r="P91" s="98" t="s">
        <v>13</v>
      </c>
      <c r="Q91" s="98" t="s">
        <v>14</v>
      </c>
      <c r="R91" s="246" t="s">
        <v>38</v>
      </c>
      <c r="S91" s="248"/>
      <c r="T91" s="108"/>
    </row>
    <row r="92" spans="2:20" ht="14.4" customHeight="1" x14ac:dyDescent="0.3">
      <c r="B92" s="258" t="s">
        <v>87</v>
      </c>
      <c r="C92" s="260" t="s">
        <v>82</v>
      </c>
      <c r="D92" s="123" t="s">
        <v>18</v>
      </c>
      <c r="E92" s="124">
        <f>CEILING((((5547+115)*1.15)-340)-150,50)</f>
        <v>6050</v>
      </c>
      <c r="F92" s="194">
        <v>340</v>
      </c>
      <c r="G92" s="194">
        <v>80</v>
      </c>
      <c r="H92" s="194">
        <v>18</v>
      </c>
      <c r="I92" s="194" t="s">
        <v>57</v>
      </c>
      <c r="J92" s="194">
        <v>75</v>
      </c>
      <c r="K92" s="194">
        <v>75</v>
      </c>
      <c r="L92" s="164">
        <f>SUM(E92:K92)</f>
        <v>6638</v>
      </c>
      <c r="M92" s="194">
        <v>200</v>
      </c>
      <c r="N92" s="164">
        <f>SUM(L92:M92)</f>
        <v>6838</v>
      </c>
      <c r="O92" s="127" t="s">
        <v>85</v>
      </c>
      <c r="P92" s="180" t="s">
        <v>59</v>
      </c>
      <c r="Q92" s="127" t="s">
        <v>41</v>
      </c>
      <c r="R92" s="269" t="s">
        <v>60</v>
      </c>
      <c r="S92" s="269"/>
      <c r="T92" s="108" t="s">
        <v>61</v>
      </c>
    </row>
    <row r="93" spans="2:20" ht="14.4" customHeight="1" x14ac:dyDescent="0.3">
      <c r="B93" s="267"/>
      <c r="C93" s="268"/>
      <c r="D93" s="123" t="s">
        <v>24</v>
      </c>
      <c r="E93" s="124">
        <f>CEILING((((6197+115)*1.15)-340)-150,50)</f>
        <v>6800</v>
      </c>
      <c r="F93" s="194">
        <v>340</v>
      </c>
      <c r="G93" s="194">
        <v>80</v>
      </c>
      <c r="H93" s="194">
        <v>18</v>
      </c>
      <c r="I93" s="194">
        <v>0</v>
      </c>
      <c r="J93" s="194">
        <v>75</v>
      </c>
      <c r="K93" s="194">
        <v>75</v>
      </c>
      <c r="L93" s="164">
        <f>SUM(E93:K93)</f>
        <v>7388</v>
      </c>
      <c r="M93" s="194">
        <v>200</v>
      </c>
      <c r="N93" s="164">
        <f>SUM(L93:M93)</f>
        <v>7588</v>
      </c>
      <c r="O93" s="127" t="s">
        <v>85</v>
      </c>
      <c r="P93" s="180" t="s">
        <v>59</v>
      </c>
      <c r="Q93" s="127" t="s">
        <v>41</v>
      </c>
      <c r="R93" s="269"/>
      <c r="S93" s="269"/>
      <c r="T93" s="108" t="s">
        <v>61</v>
      </c>
    </row>
    <row r="94" spans="2:20" ht="28.8" x14ac:dyDescent="0.3">
      <c r="B94" s="263" t="s">
        <v>88</v>
      </c>
      <c r="C94" s="264"/>
      <c r="D94" s="264"/>
      <c r="E94" s="264"/>
      <c r="F94" s="264"/>
      <c r="G94" s="264"/>
      <c r="H94" s="264"/>
      <c r="I94" s="264"/>
      <c r="J94" s="264"/>
      <c r="K94" s="264"/>
      <c r="L94" s="264"/>
      <c r="M94" s="264"/>
      <c r="N94" s="264"/>
      <c r="O94" s="264"/>
      <c r="P94" s="264"/>
      <c r="Q94" s="264"/>
      <c r="R94" s="264"/>
      <c r="S94" s="265"/>
      <c r="T94" s="108"/>
    </row>
    <row r="95" spans="2:20" ht="28.8" x14ac:dyDescent="0.3">
      <c r="B95" s="72" t="s">
        <v>1</v>
      </c>
      <c r="C95" s="246" t="s">
        <v>2</v>
      </c>
      <c r="D95" s="247"/>
      <c r="E95" s="98" t="s">
        <v>3</v>
      </c>
      <c r="F95" s="98" t="s">
        <v>4</v>
      </c>
      <c r="G95" s="98" t="s">
        <v>5</v>
      </c>
      <c r="H95" s="98" t="s">
        <v>6</v>
      </c>
      <c r="I95" s="3" t="s">
        <v>51</v>
      </c>
      <c r="J95" s="3" t="s">
        <v>52</v>
      </c>
      <c r="K95" s="3" t="s">
        <v>53</v>
      </c>
      <c r="L95" s="3" t="s">
        <v>54</v>
      </c>
      <c r="M95" s="3" t="s">
        <v>10</v>
      </c>
      <c r="N95" s="3" t="s">
        <v>11</v>
      </c>
      <c r="O95" s="3" t="s">
        <v>12</v>
      </c>
      <c r="P95" s="98" t="s">
        <v>13</v>
      </c>
      <c r="Q95" s="98" t="s">
        <v>14</v>
      </c>
      <c r="R95" s="246" t="s">
        <v>38</v>
      </c>
      <c r="S95" s="248"/>
      <c r="T95" s="108"/>
    </row>
    <row r="96" spans="2:20" ht="14.4" customHeight="1" x14ac:dyDescent="0.3">
      <c r="B96" s="258" t="s">
        <v>89</v>
      </c>
      <c r="C96" s="260" t="s">
        <v>82</v>
      </c>
      <c r="D96" s="123" t="s">
        <v>18</v>
      </c>
      <c r="E96" s="124">
        <f>CEILING((((5470+297+115)*1.15)-340)-150,50)</f>
        <v>6300</v>
      </c>
      <c r="F96" s="194">
        <v>340</v>
      </c>
      <c r="G96" s="194">
        <v>80</v>
      </c>
      <c r="H96" s="194">
        <v>18</v>
      </c>
      <c r="I96" s="194" t="s">
        <v>57</v>
      </c>
      <c r="J96" s="194">
        <v>75</v>
      </c>
      <c r="K96" s="194">
        <v>75</v>
      </c>
      <c r="L96" s="164">
        <f>SUM(E96:K96)</f>
        <v>6888</v>
      </c>
      <c r="M96" s="194">
        <v>200</v>
      </c>
      <c r="N96" s="164">
        <f>SUM(L96:M96)</f>
        <v>7088</v>
      </c>
      <c r="O96" s="127" t="s">
        <v>85</v>
      </c>
      <c r="P96" s="180" t="s">
        <v>90</v>
      </c>
      <c r="Q96" s="127" t="s">
        <v>41</v>
      </c>
      <c r="R96" s="269" t="s">
        <v>60</v>
      </c>
      <c r="S96" s="269"/>
      <c r="T96" s="108" t="s">
        <v>61</v>
      </c>
    </row>
    <row r="97" spans="2:21" x14ac:dyDescent="0.3">
      <c r="B97" s="267"/>
      <c r="C97" s="268"/>
      <c r="D97" s="123" t="s">
        <v>24</v>
      </c>
      <c r="E97" s="124">
        <f>CEILING((((6020+297+115)*1.15)-340)-150,50)</f>
        <v>6950</v>
      </c>
      <c r="F97" s="194">
        <v>340</v>
      </c>
      <c r="G97" s="194">
        <v>80</v>
      </c>
      <c r="H97" s="194">
        <v>18</v>
      </c>
      <c r="I97" s="194" t="s">
        <v>57</v>
      </c>
      <c r="J97" s="194">
        <v>75</v>
      </c>
      <c r="K97" s="194">
        <v>75</v>
      </c>
      <c r="L97" s="164">
        <f>SUM(E97:K97)</f>
        <v>7538</v>
      </c>
      <c r="M97" s="194">
        <v>200</v>
      </c>
      <c r="N97" s="164">
        <f>SUM(L97:M97)</f>
        <v>7738</v>
      </c>
      <c r="O97" s="127" t="s">
        <v>85</v>
      </c>
      <c r="P97" s="180" t="s">
        <v>90</v>
      </c>
      <c r="Q97" s="127" t="s">
        <v>41</v>
      </c>
      <c r="R97" s="269"/>
      <c r="S97" s="269"/>
      <c r="T97" s="108" t="s">
        <v>61</v>
      </c>
    </row>
    <row r="98" spans="2:21" ht="28.8" x14ac:dyDescent="0.3">
      <c r="B98" s="263" t="s">
        <v>91</v>
      </c>
      <c r="C98" s="264"/>
      <c r="D98" s="264"/>
      <c r="E98" s="264"/>
      <c r="F98" s="264"/>
      <c r="G98" s="264"/>
      <c r="H98" s="264"/>
      <c r="I98" s="264"/>
      <c r="J98" s="264"/>
      <c r="K98" s="264"/>
      <c r="L98" s="264"/>
      <c r="M98" s="264"/>
      <c r="N98" s="264"/>
      <c r="O98" s="264"/>
      <c r="P98" s="264"/>
      <c r="Q98" s="264"/>
      <c r="R98" s="264"/>
      <c r="S98" s="265"/>
      <c r="T98" s="108"/>
    </row>
    <row r="99" spans="2:21" ht="28.8" x14ac:dyDescent="0.3">
      <c r="B99" s="72"/>
      <c r="C99" s="246"/>
      <c r="D99" s="247"/>
      <c r="E99" s="98" t="s">
        <v>3</v>
      </c>
      <c r="F99" s="98" t="s">
        <v>4</v>
      </c>
      <c r="G99" s="98" t="s">
        <v>5</v>
      </c>
      <c r="H99" s="98" t="s">
        <v>6</v>
      </c>
      <c r="I99" s="3" t="s">
        <v>51</v>
      </c>
      <c r="J99" s="3" t="s">
        <v>52</v>
      </c>
      <c r="K99" s="3" t="s">
        <v>53</v>
      </c>
      <c r="L99" s="3" t="s">
        <v>54</v>
      </c>
      <c r="M99" s="3" t="s">
        <v>10</v>
      </c>
      <c r="N99" s="3" t="s">
        <v>11</v>
      </c>
      <c r="O99" s="3" t="s">
        <v>12</v>
      </c>
      <c r="P99" s="98" t="s">
        <v>13</v>
      </c>
      <c r="Q99" s="98" t="s">
        <v>14</v>
      </c>
      <c r="R99" s="246" t="s">
        <v>38</v>
      </c>
      <c r="S99" s="248"/>
      <c r="T99" s="108"/>
    </row>
    <row r="100" spans="2:21" x14ac:dyDescent="0.3">
      <c r="B100" s="119" t="s">
        <v>92</v>
      </c>
      <c r="C100" s="103" t="s">
        <v>93</v>
      </c>
      <c r="D100" s="94" t="s">
        <v>18</v>
      </c>
      <c r="E100" s="124">
        <f>CEILING((((3600+25+30+340+150)*1.15)-340)-150,50)</f>
        <v>4300</v>
      </c>
      <c r="F100" s="194">
        <v>340</v>
      </c>
      <c r="G100" s="194">
        <v>80</v>
      </c>
      <c r="H100" s="194">
        <v>18</v>
      </c>
      <c r="I100" s="194">
        <v>0</v>
      </c>
      <c r="J100" s="194">
        <v>75</v>
      </c>
      <c r="K100" s="194">
        <v>75</v>
      </c>
      <c r="L100" s="71">
        <f>SUM(E100:K100)</f>
        <v>4888</v>
      </c>
      <c r="M100" s="70">
        <v>200</v>
      </c>
      <c r="N100" s="71">
        <f>SUM(L100:M100)</f>
        <v>5088</v>
      </c>
      <c r="O100" s="69" t="s">
        <v>94</v>
      </c>
      <c r="P100" s="180" t="s">
        <v>59</v>
      </c>
      <c r="Q100" s="127" t="s">
        <v>41</v>
      </c>
      <c r="R100" s="266" t="s">
        <v>95</v>
      </c>
      <c r="S100" s="266"/>
      <c r="T100" s="108" t="s">
        <v>96</v>
      </c>
    </row>
    <row r="101" spans="2:21" ht="14.4" customHeight="1" x14ac:dyDescent="0.3">
      <c r="B101" s="249" t="s">
        <v>97</v>
      </c>
      <c r="C101" s="251" t="s">
        <v>17</v>
      </c>
      <c r="D101" s="94" t="s">
        <v>18</v>
      </c>
      <c r="E101" s="124">
        <f>CEILING((((3395+30+30+211+100+340)*1.15))-490,50)</f>
        <v>4250</v>
      </c>
      <c r="F101" s="20">
        <v>340</v>
      </c>
      <c r="G101" s="20">
        <v>80</v>
      </c>
      <c r="H101" s="194">
        <v>18</v>
      </c>
      <c r="I101" s="194" t="s">
        <v>57</v>
      </c>
      <c r="J101" s="194">
        <v>75</v>
      </c>
      <c r="K101" s="194">
        <v>75</v>
      </c>
      <c r="L101" s="71">
        <f>SUM(E101:K101)</f>
        <v>4838</v>
      </c>
      <c r="M101" s="70">
        <v>200</v>
      </c>
      <c r="N101" s="71">
        <f>SUM(L101:M101)</f>
        <v>5038</v>
      </c>
      <c r="O101" s="69" t="s">
        <v>94</v>
      </c>
      <c r="P101" s="180" t="s">
        <v>59</v>
      </c>
      <c r="Q101" s="127" t="s">
        <v>41</v>
      </c>
      <c r="R101" s="266" t="s">
        <v>95</v>
      </c>
      <c r="S101" s="266"/>
      <c r="T101" s="108" t="s">
        <v>98</v>
      </c>
    </row>
    <row r="102" spans="2:21" ht="15" thickBot="1" x14ac:dyDescent="0.35">
      <c r="B102" s="250"/>
      <c r="C102" s="252"/>
      <c r="D102" s="109" t="s">
        <v>24</v>
      </c>
      <c r="E102" s="124">
        <f>CEILING((((3595+30+30+422+150+340)*1.15))-490,50)</f>
        <v>4800</v>
      </c>
      <c r="F102" s="20">
        <v>340</v>
      </c>
      <c r="G102" s="20">
        <v>80</v>
      </c>
      <c r="H102" s="194">
        <v>18</v>
      </c>
      <c r="I102" s="194" t="s">
        <v>57</v>
      </c>
      <c r="J102" s="194">
        <v>75</v>
      </c>
      <c r="K102" s="194">
        <v>75</v>
      </c>
      <c r="L102" s="71">
        <f>SUM(E102:K102)</f>
        <v>5388</v>
      </c>
      <c r="M102" s="70">
        <v>200</v>
      </c>
      <c r="N102" s="71">
        <f>SUM(L102:M102)</f>
        <v>5588</v>
      </c>
      <c r="O102" s="69" t="s">
        <v>94</v>
      </c>
      <c r="P102" s="180" t="s">
        <v>59</v>
      </c>
      <c r="Q102" s="127" t="s">
        <v>41</v>
      </c>
      <c r="R102" s="266" t="s">
        <v>95</v>
      </c>
      <c r="S102" s="266"/>
      <c r="T102" s="108" t="s">
        <v>98</v>
      </c>
    </row>
    <row r="103" spans="2:21" ht="28.8" x14ac:dyDescent="0.3">
      <c r="B103" s="222" t="s">
        <v>99</v>
      </c>
      <c r="C103" s="223"/>
      <c r="D103" s="223"/>
      <c r="E103" s="223"/>
      <c r="F103" s="223"/>
      <c r="G103" s="223"/>
      <c r="H103" s="223"/>
      <c r="I103" s="223"/>
      <c r="J103" s="223"/>
      <c r="K103" s="223"/>
      <c r="L103" s="223"/>
      <c r="M103" s="223"/>
      <c r="N103" s="223"/>
      <c r="O103" s="223"/>
      <c r="P103" s="223"/>
      <c r="Q103" s="223"/>
      <c r="R103" s="257"/>
      <c r="S103" s="257"/>
    </row>
    <row r="104" spans="2:21" ht="28.8" x14ac:dyDescent="0.3">
      <c r="B104" s="72" t="s">
        <v>1</v>
      </c>
      <c r="C104" s="246" t="s">
        <v>2</v>
      </c>
      <c r="D104" s="247"/>
      <c r="E104" s="98" t="s">
        <v>3</v>
      </c>
      <c r="F104" s="98" t="s">
        <v>4</v>
      </c>
      <c r="G104" s="98" t="s">
        <v>5</v>
      </c>
      <c r="H104" s="98" t="s">
        <v>6</v>
      </c>
      <c r="I104" s="3" t="s">
        <v>51</v>
      </c>
      <c r="J104" s="3" t="s">
        <v>52</v>
      </c>
      <c r="K104" s="3" t="s">
        <v>53</v>
      </c>
      <c r="L104" s="3" t="s">
        <v>54</v>
      </c>
      <c r="M104" s="3" t="s">
        <v>10</v>
      </c>
      <c r="N104" s="3" t="s">
        <v>11</v>
      </c>
      <c r="O104" s="3" t="s">
        <v>12</v>
      </c>
      <c r="P104" s="98" t="s">
        <v>13</v>
      </c>
      <c r="Q104" s="98" t="s">
        <v>14</v>
      </c>
      <c r="R104" s="246" t="s">
        <v>38</v>
      </c>
      <c r="S104" s="248"/>
    </row>
    <row r="105" spans="2:21" x14ac:dyDescent="0.3">
      <c r="B105" s="258" t="s">
        <v>100</v>
      </c>
      <c r="C105" s="260" t="s">
        <v>82</v>
      </c>
      <c r="D105" s="123" t="s">
        <v>18</v>
      </c>
      <c r="E105" s="124">
        <f>CEILING((((5647+115)*1.15)-340)-150,50)</f>
        <v>6150</v>
      </c>
      <c r="F105" s="194">
        <v>340</v>
      </c>
      <c r="G105" s="194">
        <v>80</v>
      </c>
      <c r="H105" s="194">
        <v>18</v>
      </c>
      <c r="I105" s="194" t="s">
        <v>57</v>
      </c>
      <c r="J105" s="194">
        <v>75</v>
      </c>
      <c r="K105" s="194">
        <v>75</v>
      </c>
      <c r="L105" s="164">
        <f>SUM(E105:K105)</f>
        <v>6738</v>
      </c>
      <c r="M105" s="194">
        <v>200</v>
      </c>
      <c r="N105" s="164">
        <f>SUM(L105:M105)</f>
        <v>6938</v>
      </c>
      <c r="O105" s="127" t="s">
        <v>85</v>
      </c>
      <c r="P105" s="180" t="s">
        <v>59</v>
      </c>
      <c r="Q105" s="127" t="s">
        <v>41</v>
      </c>
      <c r="R105" s="253" t="s">
        <v>101</v>
      </c>
      <c r="S105" s="253"/>
      <c r="T105" s="108" t="s">
        <v>61</v>
      </c>
      <c r="U105"/>
    </row>
    <row r="106" spans="2:21" x14ac:dyDescent="0.3">
      <c r="B106" s="259"/>
      <c r="C106" s="261"/>
      <c r="D106" s="201" t="s">
        <v>24</v>
      </c>
      <c r="E106" s="124">
        <f>CEILING((((6497+115)*1.15)-340)-150,50)</f>
        <v>7150</v>
      </c>
      <c r="F106" s="202">
        <v>340</v>
      </c>
      <c r="G106" s="202">
        <v>80</v>
      </c>
      <c r="H106" s="202">
        <v>18</v>
      </c>
      <c r="I106" s="202" t="s">
        <v>57</v>
      </c>
      <c r="J106" s="202">
        <v>75</v>
      </c>
      <c r="K106" s="202">
        <v>75</v>
      </c>
      <c r="L106" s="203">
        <f>SUM(E106:K106)</f>
        <v>7738</v>
      </c>
      <c r="M106" s="202">
        <v>200</v>
      </c>
      <c r="N106" s="203">
        <f>SUM(L106:M106)</f>
        <v>7938</v>
      </c>
      <c r="O106" s="204" t="s">
        <v>85</v>
      </c>
      <c r="P106" s="180" t="s">
        <v>59</v>
      </c>
      <c r="Q106" s="204" t="s">
        <v>41</v>
      </c>
      <c r="R106" s="262"/>
      <c r="S106" s="262"/>
      <c r="T106" s="108" t="s">
        <v>61</v>
      </c>
      <c r="U106"/>
    </row>
    <row r="107" spans="2:21" ht="28.8" x14ac:dyDescent="0.3">
      <c r="B107" s="222" t="s">
        <v>102</v>
      </c>
      <c r="C107" s="223"/>
      <c r="D107" s="223"/>
      <c r="E107" s="223"/>
      <c r="F107" s="223"/>
      <c r="G107" s="223"/>
      <c r="H107" s="223"/>
      <c r="I107" s="223"/>
      <c r="J107" s="223"/>
      <c r="K107" s="223"/>
      <c r="L107" s="223"/>
      <c r="M107" s="223"/>
      <c r="N107" s="223"/>
      <c r="O107" s="223"/>
      <c r="P107" s="223"/>
      <c r="Q107" s="223"/>
      <c r="R107" s="223"/>
      <c r="S107" s="245"/>
    </row>
    <row r="108" spans="2:21" ht="28.8" x14ac:dyDescent="0.3">
      <c r="B108" s="72" t="s">
        <v>1</v>
      </c>
      <c r="C108" s="246" t="s">
        <v>2</v>
      </c>
      <c r="D108" s="247"/>
      <c r="E108" s="98" t="s">
        <v>3</v>
      </c>
      <c r="F108" s="98" t="s">
        <v>4</v>
      </c>
      <c r="G108" s="98" t="s">
        <v>5</v>
      </c>
      <c r="H108" s="98" t="s">
        <v>6</v>
      </c>
      <c r="I108" s="3" t="s">
        <v>51</v>
      </c>
      <c r="J108" s="3" t="s">
        <v>52</v>
      </c>
      <c r="K108" s="3" t="s">
        <v>53</v>
      </c>
      <c r="L108" s="3" t="s">
        <v>54</v>
      </c>
      <c r="M108" s="3" t="s">
        <v>10</v>
      </c>
      <c r="N108" s="3" t="s">
        <v>11</v>
      </c>
      <c r="O108" s="3" t="s">
        <v>12</v>
      </c>
      <c r="P108" s="98" t="s">
        <v>13</v>
      </c>
      <c r="Q108" s="98" t="s">
        <v>14</v>
      </c>
      <c r="R108" s="246" t="s">
        <v>38</v>
      </c>
      <c r="S108" s="248"/>
    </row>
    <row r="109" spans="2:21" x14ac:dyDescent="0.3">
      <c r="B109" s="249" t="s">
        <v>103</v>
      </c>
      <c r="C109" s="251" t="s">
        <v>31</v>
      </c>
      <c r="D109" s="94" t="s">
        <v>18</v>
      </c>
      <c r="E109" s="124">
        <f>CEILING((((5500+297+115)*1.15)-340)-150,50)</f>
        <v>6350</v>
      </c>
      <c r="F109" s="194">
        <v>340</v>
      </c>
      <c r="G109" s="194">
        <v>80</v>
      </c>
      <c r="H109" s="194">
        <v>18</v>
      </c>
      <c r="I109" s="194" t="s">
        <v>57</v>
      </c>
      <c r="J109" s="194">
        <v>75</v>
      </c>
      <c r="K109" s="194">
        <v>75</v>
      </c>
      <c r="L109" s="164">
        <f>SUM(E109:K109)</f>
        <v>6938</v>
      </c>
      <c r="M109" s="194">
        <v>200</v>
      </c>
      <c r="N109" s="164">
        <f>SUM(L109:M109)</f>
        <v>7138</v>
      </c>
      <c r="O109" s="127" t="s">
        <v>85</v>
      </c>
      <c r="P109" s="180" t="s">
        <v>59</v>
      </c>
      <c r="Q109" s="127" t="s">
        <v>41</v>
      </c>
      <c r="R109" s="253" t="s">
        <v>101</v>
      </c>
      <c r="S109" s="254"/>
      <c r="T109" s="174" t="s">
        <v>104</v>
      </c>
      <c r="U109"/>
    </row>
    <row r="110" spans="2:21" ht="15" thickBot="1" x14ac:dyDescent="0.35">
      <c r="B110" s="250"/>
      <c r="C110" s="252"/>
      <c r="D110" s="109" t="s">
        <v>24</v>
      </c>
      <c r="E110" s="190">
        <f>CEILING((((6050+297+115)*1.15)-340)-150,50)</f>
        <v>6950</v>
      </c>
      <c r="F110" s="195">
        <v>340</v>
      </c>
      <c r="G110" s="195">
        <v>80</v>
      </c>
      <c r="H110" s="195">
        <v>18</v>
      </c>
      <c r="I110" s="195" t="s">
        <v>57</v>
      </c>
      <c r="J110" s="195">
        <v>75</v>
      </c>
      <c r="K110" s="195">
        <v>75</v>
      </c>
      <c r="L110" s="196">
        <f>SUM(E110:K110)</f>
        <v>7538</v>
      </c>
      <c r="M110" s="195">
        <v>200</v>
      </c>
      <c r="N110" s="196">
        <f>SUM(L110:M110)</f>
        <v>7738</v>
      </c>
      <c r="O110" s="199" t="s">
        <v>85</v>
      </c>
      <c r="P110" s="214" t="s">
        <v>59</v>
      </c>
      <c r="Q110" s="200" t="s">
        <v>41</v>
      </c>
      <c r="R110" s="255"/>
      <c r="S110" s="256"/>
      <c r="T110" s="174" t="s">
        <v>104</v>
      </c>
      <c r="U110"/>
    </row>
    <row r="111" spans="2:21" ht="15" thickBot="1" x14ac:dyDescent="0.35">
      <c r="B111" s="114"/>
      <c r="C111" s="36"/>
      <c r="D111" s="111"/>
      <c r="E111" s="112"/>
      <c r="F111" s="197"/>
      <c r="G111" s="197"/>
      <c r="H111" s="197"/>
      <c r="I111" s="197"/>
      <c r="J111" s="197"/>
      <c r="K111" s="197"/>
      <c r="L111" s="198"/>
      <c r="M111" s="197"/>
      <c r="N111" s="198"/>
      <c r="O111" s="49"/>
      <c r="P111" s="28"/>
      <c r="Q111" s="49"/>
      <c r="R111" s="113"/>
      <c r="S111" s="115"/>
    </row>
    <row r="112" spans="2:21" ht="15.6" x14ac:dyDescent="0.3">
      <c r="B112" s="233" t="s">
        <v>34</v>
      </c>
      <c r="C112" s="234"/>
      <c r="D112" s="234"/>
      <c r="E112" s="234"/>
      <c r="F112" s="234"/>
      <c r="G112" s="234"/>
      <c r="H112" s="234"/>
      <c r="I112" s="234"/>
      <c r="J112" s="234"/>
      <c r="K112" s="234"/>
      <c r="L112" s="234"/>
      <c r="M112" s="234"/>
      <c r="N112" s="234"/>
      <c r="O112" s="234"/>
      <c r="P112" s="234"/>
      <c r="Q112" s="234"/>
      <c r="R112" s="234"/>
      <c r="S112" s="235"/>
    </row>
    <row r="113" spans="2:20" x14ac:dyDescent="0.3">
      <c r="B113" s="236" t="s">
        <v>35</v>
      </c>
      <c r="C113" s="237"/>
      <c r="D113" s="237"/>
      <c r="E113" s="237"/>
      <c r="F113" s="237"/>
      <c r="G113" s="237"/>
      <c r="H113" s="237"/>
      <c r="I113" s="237"/>
      <c r="J113" s="237"/>
      <c r="K113" s="237"/>
      <c r="L113" s="237"/>
      <c r="M113" s="237"/>
      <c r="N113" s="237"/>
      <c r="O113" s="237"/>
      <c r="P113" s="237"/>
      <c r="Q113" s="237"/>
      <c r="R113" s="237"/>
      <c r="S113" s="238"/>
    </row>
    <row r="114" spans="2:20" x14ac:dyDescent="0.3">
      <c r="B114" s="236"/>
      <c r="C114" s="237"/>
      <c r="D114" s="237"/>
      <c r="E114" s="237"/>
      <c r="F114" s="237"/>
      <c r="G114" s="237"/>
      <c r="H114" s="237"/>
      <c r="I114" s="237"/>
      <c r="J114" s="237"/>
      <c r="K114" s="237"/>
      <c r="L114" s="237"/>
      <c r="M114" s="237"/>
      <c r="N114" s="237"/>
      <c r="O114" s="237"/>
      <c r="P114" s="237"/>
      <c r="Q114" s="237"/>
      <c r="R114" s="237"/>
      <c r="S114" s="238"/>
    </row>
    <row r="115" spans="2:20" x14ac:dyDescent="0.3">
      <c r="B115" s="236"/>
      <c r="C115" s="237"/>
      <c r="D115" s="237"/>
      <c r="E115" s="237"/>
      <c r="F115" s="237"/>
      <c r="G115" s="237"/>
      <c r="H115" s="237"/>
      <c r="I115" s="237"/>
      <c r="J115" s="237"/>
      <c r="K115" s="237"/>
      <c r="L115" s="237"/>
      <c r="M115" s="237"/>
      <c r="N115" s="237"/>
      <c r="O115" s="237"/>
      <c r="P115" s="237"/>
      <c r="Q115" s="237"/>
      <c r="R115" s="237"/>
      <c r="S115" s="238"/>
    </row>
    <row r="116" spans="2:20" ht="15" thickBot="1" x14ac:dyDescent="0.35">
      <c r="B116" s="239"/>
      <c r="C116" s="240"/>
      <c r="D116" s="240"/>
      <c r="E116" s="240"/>
      <c r="F116" s="240"/>
      <c r="G116" s="240"/>
      <c r="H116" s="240"/>
      <c r="I116" s="240"/>
      <c r="J116" s="240"/>
      <c r="K116" s="240"/>
      <c r="L116" s="240"/>
      <c r="M116" s="240"/>
      <c r="N116" s="240"/>
      <c r="O116" s="240"/>
      <c r="P116" s="240"/>
      <c r="Q116" s="240"/>
      <c r="R116" s="240"/>
      <c r="S116" s="241"/>
    </row>
    <row r="125" spans="2:20" ht="28.8" x14ac:dyDescent="0.3">
      <c r="B125" s="242" t="s">
        <v>105</v>
      </c>
      <c r="C125" s="242"/>
      <c r="D125" s="242"/>
      <c r="E125" s="242"/>
      <c r="F125" s="242"/>
      <c r="G125" s="242"/>
      <c r="H125" s="242"/>
      <c r="I125" s="242"/>
      <c r="J125" s="242"/>
      <c r="K125" s="242"/>
      <c r="L125" s="242"/>
      <c r="M125" s="242"/>
      <c r="N125" s="242"/>
      <c r="O125" s="242"/>
      <c r="P125" s="242"/>
      <c r="Q125" s="110"/>
    </row>
    <row r="126" spans="2:20" ht="28.8" x14ac:dyDescent="0.3">
      <c r="B126" s="98" t="s">
        <v>1</v>
      </c>
      <c r="C126" s="224" t="s">
        <v>2</v>
      </c>
      <c r="D126" s="224"/>
      <c r="E126" s="98" t="s">
        <v>3</v>
      </c>
      <c r="F126" s="98" t="s">
        <v>4</v>
      </c>
      <c r="G126" s="11" t="s">
        <v>106</v>
      </c>
      <c r="H126" s="105" t="s">
        <v>6</v>
      </c>
      <c r="I126" s="3" t="s">
        <v>9</v>
      </c>
      <c r="J126" s="3" t="s">
        <v>10</v>
      </c>
      <c r="K126" s="3" t="s">
        <v>11</v>
      </c>
      <c r="L126" s="98" t="s">
        <v>12</v>
      </c>
      <c r="M126" s="98" t="s">
        <v>13</v>
      </c>
      <c r="N126" s="98" t="s">
        <v>14</v>
      </c>
      <c r="O126" s="224" t="s">
        <v>38</v>
      </c>
      <c r="P126" s="224"/>
      <c r="Q126" s="224"/>
      <c r="T126" s="107" t="s">
        <v>15</v>
      </c>
    </row>
    <row r="127" spans="2:20" ht="14.4" customHeight="1" x14ac:dyDescent="0.3">
      <c r="B127" s="226" t="s">
        <v>107</v>
      </c>
      <c r="C127" s="243" t="s">
        <v>17</v>
      </c>
      <c r="D127" s="18" t="s">
        <v>18</v>
      </c>
      <c r="E127" s="30">
        <v>1600</v>
      </c>
      <c r="F127" s="30">
        <v>370</v>
      </c>
      <c r="G127" s="30">
        <v>45</v>
      </c>
      <c r="H127" s="20">
        <v>0</v>
      </c>
      <c r="I127" s="33">
        <f>SUM(E127:H127)</f>
        <v>2015</v>
      </c>
      <c r="J127" s="22">
        <v>200</v>
      </c>
      <c r="K127" s="21">
        <f>I127+J127</f>
        <v>2215</v>
      </c>
      <c r="L127" s="34">
        <v>7</v>
      </c>
      <c r="M127" s="180" t="s">
        <v>21</v>
      </c>
      <c r="N127" s="18" t="s">
        <v>108</v>
      </c>
      <c r="O127" s="244" t="s">
        <v>47</v>
      </c>
      <c r="P127" s="244"/>
      <c r="Q127" s="244"/>
      <c r="T127" s="108" t="s">
        <v>109</v>
      </c>
    </row>
    <row r="128" spans="2:20" x14ac:dyDescent="0.3">
      <c r="B128" s="226"/>
      <c r="C128" s="243"/>
      <c r="D128" s="18" t="s">
        <v>24</v>
      </c>
      <c r="E128" s="30">
        <v>1900</v>
      </c>
      <c r="F128" s="30">
        <v>370</v>
      </c>
      <c r="G128" s="30">
        <v>45</v>
      </c>
      <c r="H128" s="20">
        <v>0</v>
      </c>
      <c r="I128" s="33">
        <f>SUM(E128:H128)</f>
        <v>2315</v>
      </c>
      <c r="J128" s="22">
        <v>200</v>
      </c>
      <c r="K128" s="21">
        <f>I128+J128</f>
        <v>2515</v>
      </c>
      <c r="L128" s="34">
        <v>7</v>
      </c>
      <c r="M128" s="180" t="s">
        <v>21</v>
      </c>
      <c r="N128" s="18" t="s">
        <v>108</v>
      </c>
      <c r="O128" s="244"/>
      <c r="P128" s="244"/>
      <c r="Q128" s="244"/>
      <c r="T128" s="108" t="s">
        <v>109</v>
      </c>
    </row>
    <row r="129" spans="2:20" x14ac:dyDescent="0.3">
      <c r="B129" s="36"/>
      <c r="C129" s="104"/>
      <c r="D129" s="27"/>
      <c r="E129" s="37"/>
      <c r="F129" s="37"/>
      <c r="G129" s="37"/>
      <c r="H129" s="104"/>
      <c r="I129" s="73"/>
      <c r="J129" s="74"/>
      <c r="K129" s="74"/>
      <c r="L129" s="74"/>
      <c r="M129" s="75"/>
      <c r="N129" s="76"/>
      <c r="O129" s="38"/>
      <c r="P129" s="28"/>
      <c r="Q129" s="104"/>
    </row>
    <row r="130" spans="2:20" ht="15.6" x14ac:dyDescent="0.3">
      <c r="B130" s="5" t="s">
        <v>34</v>
      </c>
      <c r="C130" s="6"/>
      <c r="D130" s="6"/>
      <c r="E130" s="6"/>
      <c r="F130" s="6"/>
      <c r="G130" s="6"/>
      <c r="H130" s="6"/>
      <c r="I130" s="6"/>
      <c r="J130" s="6"/>
      <c r="K130" s="6"/>
      <c r="L130" s="6"/>
      <c r="M130" s="6"/>
      <c r="N130" s="6"/>
      <c r="O130" s="6"/>
      <c r="P130" s="6"/>
      <c r="Q130" s="7"/>
    </row>
    <row r="131" spans="2:20" x14ac:dyDescent="0.3">
      <c r="B131" s="227" t="s">
        <v>35</v>
      </c>
      <c r="C131" s="228"/>
      <c r="D131" s="228"/>
      <c r="E131" s="228"/>
      <c r="F131" s="228"/>
      <c r="G131" s="228"/>
      <c r="H131" s="228"/>
      <c r="I131" s="228"/>
      <c r="J131" s="228"/>
      <c r="K131" s="228"/>
      <c r="L131" s="228"/>
      <c r="M131" s="228"/>
      <c r="N131" s="228"/>
      <c r="O131" s="228"/>
      <c r="P131" s="228"/>
      <c r="Q131" s="229"/>
    </row>
    <row r="132" spans="2:20" x14ac:dyDescent="0.3">
      <c r="B132" s="227"/>
      <c r="C132" s="228"/>
      <c r="D132" s="228"/>
      <c r="E132" s="228"/>
      <c r="F132" s="228"/>
      <c r="G132" s="228"/>
      <c r="H132" s="228"/>
      <c r="I132" s="228"/>
      <c r="J132" s="228"/>
      <c r="K132" s="228"/>
      <c r="L132" s="228"/>
      <c r="M132" s="228"/>
      <c r="N132" s="228"/>
      <c r="O132" s="228"/>
      <c r="P132" s="228"/>
      <c r="Q132" s="229"/>
    </row>
    <row r="133" spans="2:20" x14ac:dyDescent="0.3">
      <c r="B133" s="227"/>
      <c r="C133" s="228"/>
      <c r="D133" s="228"/>
      <c r="E133" s="228"/>
      <c r="F133" s="228"/>
      <c r="G133" s="228"/>
      <c r="H133" s="228"/>
      <c r="I133" s="228"/>
      <c r="J133" s="228"/>
      <c r="K133" s="228"/>
      <c r="L133" s="228"/>
      <c r="M133" s="228"/>
      <c r="N133" s="228"/>
      <c r="O133" s="228"/>
      <c r="P133" s="228"/>
      <c r="Q133" s="229"/>
    </row>
    <row r="134" spans="2:20" x14ac:dyDescent="0.3">
      <c r="B134" s="230"/>
      <c r="C134" s="231"/>
      <c r="D134" s="231"/>
      <c r="E134" s="231"/>
      <c r="F134" s="231"/>
      <c r="G134" s="231"/>
      <c r="H134" s="231"/>
      <c r="I134" s="231"/>
      <c r="J134" s="231"/>
      <c r="K134" s="231"/>
      <c r="L134" s="231"/>
      <c r="M134" s="231"/>
      <c r="N134" s="231"/>
      <c r="O134" s="231"/>
      <c r="P134" s="231"/>
      <c r="Q134" s="232"/>
    </row>
    <row r="135" spans="2:20" x14ac:dyDescent="0.3">
      <c r="B135" s="29"/>
      <c r="C135" s="29"/>
      <c r="D135" s="29"/>
      <c r="E135" s="29"/>
      <c r="F135" s="29"/>
      <c r="G135" s="29"/>
      <c r="H135" s="29"/>
      <c r="I135" s="29"/>
      <c r="J135" s="29"/>
      <c r="K135" s="29"/>
      <c r="L135" s="29"/>
      <c r="M135" s="29"/>
      <c r="N135" s="29"/>
      <c r="O135" s="29"/>
      <c r="P135" s="29"/>
      <c r="Q135" s="29"/>
    </row>
    <row r="140" spans="2:20" ht="15" thickBot="1" x14ac:dyDescent="0.35"/>
    <row r="141" spans="2:20" ht="28.8" x14ac:dyDescent="0.3">
      <c r="B141" s="222" t="s">
        <v>110</v>
      </c>
      <c r="C141" s="223"/>
      <c r="D141" s="223"/>
      <c r="E141" s="223"/>
      <c r="F141" s="223"/>
      <c r="G141" s="223"/>
      <c r="H141" s="223"/>
      <c r="I141" s="223"/>
      <c r="J141" s="223"/>
      <c r="K141" s="223"/>
      <c r="L141" s="223"/>
      <c r="M141" s="223"/>
      <c r="N141" s="223"/>
      <c r="O141" s="223"/>
      <c r="P141" s="223"/>
    </row>
    <row r="142" spans="2:20" ht="28.8" x14ac:dyDescent="0.3">
      <c r="B142" s="72" t="s">
        <v>1</v>
      </c>
      <c r="C142" s="224" t="s">
        <v>2</v>
      </c>
      <c r="D142" s="224"/>
      <c r="E142" s="98" t="s">
        <v>3</v>
      </c>
      <c r="F142" s="98" t="s">
        <v>4</v>
      </c>
      <c r="G142" s="98" t="s">
        <v>5</v>
      </c>
      <c r="H142" s="98" t="s">
        <v>6</v>
      </c>
      <c r="I142" s="3" t="s">
        <v>52</v>
      </c>
      <c r="J142" s="3" t="s">
        <v>111</v>
      </c>
      <c r="K142" s="3" t="s">
        <v>54</v>
      </c>
      <c r="L142" s="3" t="s">
        <v>10</v>
      </c>
      <c r="M142" s="3" t="s">
        <v>11</v>
      </c>
      <c r="N142" s="3" t="s">
        <v>12</v>
      </c>
      <c r="O142" s="98" t="s">
        <v>13</v>
      </c>
      <c r="P142" s="98" t="s">
        <v>14</v>
      </c>
      <c r="T142" s="107" t="s">
        <v>15</v>
      </c>
    </row>
    <row r="143" spans="2:20" x14ac:dyDescent="0.3">
      <c r="B143" s="119" t="s">
        <v>112</v>
      </c>
      <c r="C143" s="103" t="s">
        <v>93</v>
      </c>
      <c r="D143" s="94" t="s">
        <v>18</v>
      </c>
      <c r="E143" s="96">
        <v>1500</v>
      </c>
      <c r="F143" s="70">
        <v>340</v>
      </c>
      <c r="G143" s="70">
        <v>80</v>
      </c>
      <c r="H143" s="70">
        <v>18</v>
      </c>
      <c r="I143" s="70">
        <v>75</v>
      </c>
      <c r="J143" s="70">
        <v>75</v>
      </c>
      <c r="K143" s="71">
        <f>SUM(E143:J143)</f>
        <v>2088</v>
      </c>
      <c r="L143" s="70">
        <v>200</v>
      </c>
      <c r="M143" s="71">
        <f>SUM(K144:L144)</f>
        <v>3088</v>
      </c>
      <c r="N143" s="69" t="s">
        <v>113</v>
      </c>
      <c r="O143" s="180" t="s">
        <v>21</v>
      </c>
      <c r="P143" s="69" t="s">
        <v>41</v>
      </c>
      <c r="T143" s="108" t="s">
        <v>114</v>
      </c>
    </row>
    <row r="144" spans="2:20" x14ac:dyDescent="0.3">
      <c r="B144" s="225" t="s">
        <v>115</v>
      </c>
      <c r="C144" s="226" t="s">
        <v>31</v>
      </c>
      <c r="D144" s="94" t="s">
        <v>18</v>
      </c>
      <c r="E144" s="96">
        <f>CEILING(((1997+75+340)*1.15)-(340+150),50)</f>
        <v>2300</v>
      </c>
      <c r="F144" s="70">
        <v>340</v>
      </c>
      <c r="G144" s="70">
        <v>80</v>
      </c>
      <c r="H144" s="70">
        <v>18</v>
      </c>
      <c r="I144" s="70">
        <v>75</v>
      </c>
      <c r="J144" s="70">
        <v>75</v>
      </c>
      <c r="K144" s="71">
        <f>SUM(E144:J144)</f>
        <v>2888</v>
      </c>
      <c r="L144" s="70">
        <v>200</v>
      </c>
      <c r="M144" s="71">
        <f>SUM(K144:L144)</f>
        <v>3088</v>
      </c>
      <c r="N144" s="69" t="s">
        <v>113</v>
      </c>
      <c r="O144" s="180" t="s">
        <v>21</v>
      </c>
      <c r="P144" s="69" t="s">
        <v>41</v>
      </c>
      <c r="T144" s="108" t="s">
        <v>114</v>
      </c>
    </row>
    <row r="145" spans="2:20" x14ac:dyDescent="0.3">
      <c r="B145" s="225"/>
      <c r="C145" s="226"/>
      <c r="D145" s="94" t="s">
        <v>24</v>
      </c>
      <c r="E145" s="96">
        <f>CEILING(((2929+75+340)*1.15)-(340+150),50)</f>
        <v>3400</v>
      </c>
      <c r="F145" s="70">
        <v>340</v>
      </c>
      <c r="G145" s="70">
        <v>80</v>
      </c>
      <c r="H145" s="70">
        <v>18</v>
      </c>
      <c r="I145" s="70">
        <v>75</v>
      </c>
      <c r="J145" s="70">
        <v>75</v>
      </c>
      <c r="K145" s="71">
        <f>SUM(E145:J145)</f>
        <v>3988</v>
      </c>
      <c r="L145" s="70">
        <v>200</v>
      </c>
      <c r="M145" s="71">
        <f>SUM(K145:L145)</f>
        <v>4188</v>
      </c>
      <c r="N145" s="69" t="s">
        <v>113</v>
      </c>
      <c r="O145" s="180" t="s">
        <v>21</v>
      </c>
      <c r="P145" s="69" t="s">
        <v>41</v>
      </c>
      <c r="T145" s="108" t="s">
        <v>114</v>
      </c>
    </row>
    <row r="147" spans="2:20" ht="15" thickBot="1" x14ac:dyDescent="0.35"/>
    <row r="148" spans="2:20" ht="28.8" x14ac:dyDescent="0.3">
      <c r="B148" s="222" t="s">
        <v>116</v>
      </c>
      <c r="C148" s="223"/>
      <c r="D148" s="223"/>
      <c r="E148" s="223"/>
      <c r="F148" s="223"/>
      <c r="G148" s="223"/>
      <c r="H148" s="223"/>
      <c r="I148" s="223"/>
      <c r="J148" s="223"/>
      <c r="K148" s="223"/>
      <c r="L148" s="223"/>
      <c r="M148" s="223"/>
      <c r="N148" s="223"/>
      <c r="O148" s="223"/>
      <c r="P148" s="223"/>
    </row>
    <row r="149" spans="2:20" ht="28.8" x14ac:dyDescent="0.3">
      <c r="B149" s="72" t="s">
        <v>1</v>
      </c>
      <c r="C149" s="224" t="s">
        <v>2</v>
      </c>
      <c r="D149" s="224"/>
      <c r="E149" s="98" t="s">
        <v>3</v>
      </c>
      <c r="F149" s="98" t="s">
        <v>4</v>
      </c>
      <c r="G149" s="98" t="s">
        <v>5</v>
      </c>
      <c r="H149" s="98" t="s">
        <v>6</v>
      </c>
      <c r="I149" s="3" t="s">
        <v>52</v>
      </c>
      <c r="J149" s="3" t="s">
        <v>111</v>
      </c>
      <c r="K149" s="3" t="s">
        <v>54</v>
      </c>
      <c r="L149" s="3" t="s">
        <v>10</v>
      </c>
      <c r="M149" s="3" t="s">
        <v>11</v>
      </c>
      <c r="N149" s="3" t="s">
        <v>12</v>
      </c>
      <c r="O149" s="98" t="s">
        <v>13</v>
      </c>
      <c r="P149" s="98" t="s">
        <v>14</v>
      </c>
    </row>
    <row r="150" spans="2:20" x14ac:dyDescent="0.3">
      <c r="B150" s="226" t="s">
        <v>117</v>
      </c>
      <c r="C150" s="226" t="s">
        <v>17</v>
      </c>
      <c r="D150" s="94" t="s">
        <v>18</v>
      </c>
      <c r="E150" s="70">
        <v>1600</v>
      </c>
      <c r="F150" s="70">
        <v>370</v>
      </c>
      <c r="G150" s="70">
        <v>50</v>
      </c>
      <c r="H150" s="70">
        <v>0</v>
      </c>
      <c r="I150" s="70">
        <v>75</v>
      </c>
      <c r="J150" s="70">
        <v>75</v>
      </c>
      <c r="K150" s="71">
        <f>SUM(E150:J150)</f>
        <v>2170</v>
      </c>
      <c r="L150" s="70">
        <v>200</v>
      </c>
      <c r="M150" s="71">
        <f>SUM(K150:L150)</f>
        <v>2370</v>
      </c>
      <c r="N150" s="69" t="s">
        <v>118</v>
      </c>
      <c r="O150" s="180" t="s">
        <v>21</v>
      </c>
      <c r="P150" s="69" t="s">
        <v>108</v>
      </c>
    </row>
    <row r="151" spans="2:20" x14ac:dyDescent="0.3">
      <c r="B151" s="226"/>
      <c r="C151" s="226"/>
      <c r="D151" s="94" t="s">
        <v>24</v>
      </c>
      <c r="E151" s="70">
        <v>2000</v>
      </c>
      <c r="F151" s="70">
        <v>370</v>
      </c>
      <c r="G151" s="70">
        <v>50</v>
      </c>
      <c r="H151" s="70">
        <v>0</v>
      </c>
      <c r="I151" s="70">
        <v>75</v>
      </c>
      <c r="J151" s="70">
        <v>75</v>
      </c>
      <c r="K151" s="71">
        <f>SUM(E151:J151)</f>
        <v>2570</v>
      </c>
      <c r="L151" s="70">
        <v>200</v>
      </c>
      <c r="M151" s="71">
        <f>SUM(K151:L151)</f>
        <v>2770</v>
      </c>
      <c r="N151" s="69" t="s">
        <v>118</v>
      </c>
      <c r="O151" s="180" t="s">
        <v>21</v>
      </c>
      <c r="P151" s="69" t="s">
        <v>108</v>
      </c>
    </row>
    <row r="152" spans="2:20" x14ac:dyDescent="0.3">
      <c r="B152" s="226" t="s">
        <v>119</v>
      </c>
      <c r="C152" s="226" t="s">
        <v>31</v>
      </c>
      <c r="D152" s="94" t="s">
        <v>18</v>
      </c>
      <c r="E152" s="70">
        <f>CEILING((((600+130+10+20+71.4+289)*1.15)-289)-150,50)</f>
        <v>850</v>
      </c>
      <c r="F152" s="70">
        <v>289</v>
      </c>
      <c r="G152" s="70">
        <v>84.38</v>
      </c>
      <c r="H152" s="70">
        <v>55</v>
      </c>
      <c r="I152" s="70">
        <v>75</v>
      </c>
      <c r="J152" s="70">
        <v>75</v>
      </c>
      <c r="K152" s="71">
        <f>SUM(E152:J152)</f>
        <v>1428.38</v>
      </c>
      <c r="L152" s="70">
        <v>200</v>
      </c>
      <c r="M152" s="71">
        <f>SUM(K152:L152)</f>
        <v>1628.38</v>
      </c>
      <c r="N152" s="69" t="s">
        <v>118</v>
      </c>
      <c r="O152" s="180" t="s">
        <v>21</v>
      </c>
      <c r="P152" s="69" t="s">
        <v>66</v>
      </c>
    </row>
    <row r="153" spans="2:20" x14ac:dyDescent="0.3">
      <c r="B153" s="226"/>
      <c r="C153" s="226"/>
      <c r="D153" s="94" t="s">
        <v>24</v>
      </c>
      <c r="E153" s="70">
        <f>CEILING((((800+260+10+20+71.4+289)*1.15)-289)-150,50)</f>
        <v>1250</v>
      </c>
      <c r="F153" s="70">
        <v>289</v>
      </c>
      <c r="G153" s="70">
        <v>84.38</v>
      </c>
      <c r="H153" s="70">
        <v>55</v>
      </c>
      <c r="I153" s="70">
        <v>75</v>
      </c>
      <c r="J153" s="70">
        <v>75</v>
      </c>
      <c r="K153" s="71">
        <f>SUM(E153:J153)</f>
        <v>1828.38</v>
      </c>
      <c r="L153" s="70">
        <v>200</v>
      </c>
      <c r="M153" s="71">
        <f>SUM(K153:L153)</f>
        <v>2028.38</v>
      </c>
      <c r="N153" s="69" t="s">
        <v>118</v>
      </c>
      <c r="O153" s="180" t="s">
        <v>21</v>
      </c>
      <c r="P153" s="69" t="s">
        <v>66</v>
      </c>
    </row>
    <row r="154" spans="2:20" x14ac:dyDescent="0.3">
      <c r="F154" s="17"/>
      <c r="G154" s="17"/>
      <c r="H154" s="17"/>
      <c r="I154" s="17"/>
    </row>
    <row r="155" spans="2:20" ht="15.6" x14ac:dyDescent="0.3">
      <c r="B155" s="5" t="s">
        <v>34</v>
      </c>
      <c r="C155" s="6"/>
      <c r="D155" s="6"/>
      <c r="E155" s="6"/>
      <c r="F155" s="6"/>
      <c r="G155" s="6"/>
      <c r="H155" s="6"/>
      <c r="I155" s="6"/>
      <c r="J155" s="6"/>
      <c r="K155" s="6"/>
      <c r="L155" s="6"/>
      <c r="M155" s="6"/>
      <c r="N155" s="6"/>
      <c r="O155" s="6"/>
      <c r="P155" s="6"/>
      <c r="Q155" s="7"/>
    </row>
    <row r="156" spans="2:20" x14ac:dyDescent="0.3">
      <c r="B156" s="227" t="s">
        <v>35</v>
      </c>
      <c r="C156" s="228"/>
      <c r="D156" s="228"/>
      <c r="E156" s="228"/>
      <c r="F156" s="228"/>
      <c r="G156" s="228"/>
      <c r="H156" s="228"/>
      <c r="I156" s="228"/>
      <c r="J156" s="228"/>
      <c r="K156" s="228"/>
      <c r="L156" s="228"/>
      <c r="M156" s="228"/>
      <c r="N156" s="228"/>
      <c r="O156" s="228"/>
      <c r="P156" s="228"/>
      <c r="Q156" s="229"/>
    </row>
    <row r="157" spans="2:20" x14ac:dyDescent="0.3">
      <c r="B157" s="227"/>
      <c r="C157" s="228"/>
      <c r="D157" s="228"/>
      <c r="E157" s="228"/>
      <c r="F157" s="228"/>
      <c r="G157" s="228"/>
      <c r="H157" s="228"/>
      <c r="I157" s="228"/>
      <c r="J157" s="228"/>
      <c r="K157" s="228"/>
      <c r="L157" s="228"/>
      <c r="M157" s="228"/>
      <c r="N157" s="228"/>
      <c r="O157" s="228"/>
      <c r="P157" s="228"/>
      <c r="Q157" s="229"/>
    </row>
    <row r="158" spans="2:20" x14ac:dyDescent="0.3">
      <c r="B158" s="227"/>
      <c r="C158" s="228"/>
      <c r="D158" s="228"/>
      <c r="E158" s="228"/>
      <c r="F158" s="228"/>
      <c r="G158" s="228"/>
      <c r="H158" s="228"/>
      <c r="I158" s="228"/>
      <c r="J158" s="228"/>
      <c r="K158" s="228"/>
      <c r="L158" s="228"/>
      <c r="M158" s="228"/>
      <c r="N158" s="228"/>
      <c r="O158" s="228"/>
      <c r="P158" s="228"/>
      <c r="Q158" s="229"/>
    </row>
    <row r="159" spans="2:20" x14ac:dyDescent="0.3">
      <c r="B159" s="230"/>
      <c r="C159" s="231"/>
      <c r="D159" s="231"/>
      <c r="E159" s="231"/>
      <c r="F159" s="231"/>
      <c r="G159" s="231"/>
      <c r="H159" s="231"/>
      <c r="I159" s="231"/>
      <c r="J159" s="231"/>
      <c r="K159" s="231"/>
      <c r="L159" s="231"/>
      <c r="M159" s="231"/>
      <c r="N159" s="231"/>
      <c r="O159" s="231"/>
      <c r="P159" s="231"/>
      <c r="Q159" s="232"/>
    </row>
    <row r="161" spans="2:17" x14ac:dyDescent="0.3">
      <c r="B161" s="29"/>
      <c r="C161" s="29"/>
      <c r="D161" s="29"/>
      <c r="E161" s="29"/>
      <c r="F161" s="29"/>
      <c r="G161" s="29"/>
      <c r="H161" s="29"/>
      <c r="I161" s="29"/>
      <c r="J161" s="29"/>
      <c r="K161" s="29"/>
      <c r="L161" s="29"/>
      <c r="M161" s="29"/>
      <c r="N161" s="29"/>
      <c r="O161" s="29"/>
      <c r="P161" s="29"/>
    </row>
    <row r="166" spans="2:17" ht="15" thickBot="1" x14ac:dyDescent="0.35"/>
    <row r="167" spans="2:17" ht="28.8" x14ac:dyDescent="0.3">
      <c r="B167" s="222" t="s">
        <v>120</v>
      </c>
      <c r="C167" s="223"/>
      <c r="D167" s="223"/>
      <c r="E167" s="223"/>
      <c r="F167" s="223"/>
      <c r="G167" s="223"/>
      <c r="H167" s="223"/>
      <c r="I167" s="223"/>
      <c r="J167" s="223"/>
      <c r="K167" s="223"/>
      <c r="L167" s="223"/>
      <c r="M167" s="223"/>
      <c r="N167" s="223"/>
      <c r="O167" s="223"/>
      <c r="P167" s="223"/>
    </row>
    <row r="168" spans="2:17" ht="28.8" x14ac:dyDescent="0.3">
      <c r="B168" s="72" t="s">
        <v>1</v>
      </c>
      <c r="C168" s="224" t="s">
        <v>2</v>
      </c>
      <c r="D168" s="224"/>
      <c r="E168" s="98" t="s">
        <v>3</v>
      </c>
      <c r="F168" s="98" t="s">
        <v>4</v>
      </c>
      <c r="G168" s="98" t="s">
        <v>5</v>
      </c>
      <c r="H168" s="98" t="s">
        <v>6</v>
      </c>
      <c r="I168" s="3" t="s">
        <v>52</v>
      </c>
      <c r="J168" s="3" t="s">
        <v>111</v>
      </c>
      <c r="K168" s="3" t="s">
        <v>54</v>
      </c>
      <c r="L168" s="3" t="s">
        <v>10</v>
      </c>
      <c r="M168" s="3" t="s">
        <v>11</v>
      </c>
      <c r="N168" s="3" t="s">
        <v>12</v>
      </c>
      <c r="O168" s="98" t="s">
        <v>13</v>
      </c>
      <c r="P168" s="98" t="s">
        <v>14</v>
      </c>
    </row>
    <row r="169" spans="2:17" x14ac:dyDescent="0.3">
      <c r="B169" s="225" t="s">
        <v>121</v>
      </c>
      <c r="C169" s="226" t="s">
        <v>122</v>
      </c>
      <c r="D169" s="94" t="s">
        <v>18</v>
      </c>
      <c r="E169" s="96">
        <v>1950</v>
      </c>
      <c r="F169" s="70">
        <v>340</v>
      </c>
      <c r="G169" s="70">
        <v>80</v>
      </c>
      <c r="H169" s="70">
        <v>18</v>
      </c>
      <c r="I169" s="70">
        <v>75</v>
      </c>
      <c r="J169" s="70">
        <v>75</v>
      </c>
      <c r="K169" s="71">
        <f>SUM(E169:J169)</f>
        <v>2538</v>
      </c>
      <c r="L169" s="70">
        <v>200</v>
      </c>
      <c r="M169" s="71">
        <f>SUM(K169:L169)</f>
        <v>2738</v>
      </c>
      <c r="N169" s="69" t="s">
        <v>113</v>
      </c>
      <c r="O169" s="180" t="s">
        <v>21</v>
      </c>
      <c r="P169" s="69" t="s">
        <v>123</v>
      </c>
    </row>
    <row r="170" spans="2:17" x14ac:dyDescent="0.3">
      <c r="B170" s="225"/>
      <c r="C170" s="226"/>
      <c r="D170" s="94" t="s">
        <v>24</v>
      </c>
      <c r="E170" s="96">
        <v>2250</v>
      </c>
      <c r="F170" s="70">
        <v>340</v>
      </c>
      <c r="G170" s="70">
        <v>80</v>
      </c>
      <c r="H170" s="70">
        <v>18</v>
      </c>
      <c r="I170" s="70">
        <v>75</v>
      </c>
      <c r="J170" s="70">
        <v>75</v>
      </c>
      <c r="K170" s="71">
        <f>SUM(E170:J170)</f>
        <v>2838</v>
      </c>
      <c r="L170" s="70">
        <v>200</v>
      </c>
      <c r="M170" s="71">
        <f>SUM(K170:L170)</f>
        <v>3038</v>
      </c>
      <c r="N170" s="69" t="s">
        <v>113</v>
      </c>
      <c r="O170" s="180" t="s">
        <v>21</v>
      </c>
      <c r="P170" s="69" t="s">
        <v>123</v>
      </c>
    </row>
    <row r="172" spans="2:17" ht="15.6" x14ac:dyDescent="0.3">
      <c r="B172" s="5" t="s">
        <v>34</v>
      </c>
      <c r="C172" s="6"/>
      <c r="D172" s="6"/>
      <c r="E172" s="6"/>
      <c r="F172" s="6"/>
      <c r="G172" s="6"/>
      <c r="H172" s="6"/>
      <c r="I172" s="6"/>
      <c r="J172" s="6"/>
      <c r="K172" s="6"/>
      <c r="L172" s="6"/>
      <c r="M172" s="6"/>
      <c r="N172" s="6"/>
      <c r="O172" s="6"/>
      <c r="P172" s="6"/>
      <c r="Q172" s="7"/>
    </row>
    <row r="173" spans="2:17" x14ac:dyDescent="0.3">
      <c r="B173" s="227" t="s">
        <v>35</v>
      </c>
      <c r="C173" s="228"/>
      <c r="D173" s="228"/>
      <c r="E173" s="228"/>
      <c r="F173" s="228"/>
      <c r="G173" s="228"/>
      <c r="H173" s="228"/>
      <c r="I173" s="228"/>
      <c r="J173" s="228"/>
      <c r="K173" s="228"/>
      <c r="L173" s="228"/>
      <c r="M173" s="228"/>
      <c r="N173" s="228"/>
      <c r="O173" s="228"/>
      <c r="P173" s="228"/>
      <c r="Q173" s="229"/>
    </row>
    <row r="174" spans="2:17" x14ac:dyDescent="0.3">
      <c r="B174" s="227"/>
      <c r="C174" s="228"/>
      <c r="D174" s="228"/>
      <c r="E174" s="228"/>
      <c r="F174" s="228"/>
      <c r="G174" s="228"/>
      <c r="H174" s="228"/>
      <c r="I174" s="228"/>
      <c r="J174" s="228"/>
      <c r="K174" s="228"/>
      <c r="L174" s="228"/>
      <c r="M174" s="228"/>
      <c r="N174" s="228"/>
      <c r="O174" s="228"/>
      <c r="P174" s="228"/>
      <c r="Q174" s="229"/>
    </row>
    <row r="175" spans="2:17" x14ac:dyDescent="0.3">
      <c r="B175" s="227"/>
      <c r="C175" s="228"/>
      <c r="D175" s="228"/>
      <c r="E175" s="228"/>
      <c r="F175" s="228"/>
      <c r="G175" s="228"/>
      <c r="H175" s="228"/>
      <c r="I175" s="228"/>
      <c r="J175" s="228"/>
      <c r="K175" s="228"/>
      <c r="L175" s="228"/>
      <c r="M175" s="228"/>
      <c r="N175" s="228"/>
      <c r="O175" s="228"/>
      <c r="P175" s="228"/>
      <c r="Q175" s="229"/>
    </row>
    <row r="176" spans="2:17" x14ac:dyDescent="0.3">
      <c r="B176" s="230"/>
      <c r="C176" s="231"/>
      <c r="D176" s="231"/>
      <c r="E176" s="231"/>
      <c r="F176" s="231"/>
      <c r="G176" s="231"/>
      <c r="H176" s="231"/>
      <c r="I176" s="231"/>
      <c r="J176" s="231"/>
      <c r="K176" s="231"/>
      <c r="L176" s="231"/>
      <c r="M176" s="231"/>
      <c r="N176" s="231"/>
      <c r="O176" s="231"/>
      <c r="P176" s="231"/>
      <c r="Q176" s="232"/>
    </row>
    <row r="178" spans="2:17" ht="28.8" x14ac:dyDescent="0.3">
      <c r="B178" s="292" t="s">
        <v>124</v>
      </c>
      <c r="C178" s="257"/>
      <c r="D178" s="257"/>
      <c r="E178" s="257"/>
      <c r="F178" s="257"/>
      <c r="G178" s="257"/>
      <c r="H178" s="257"/>
      <c r="I178" s="257"/>
      <c r="J178" s="257"/>
      <c r="K178" s="257"/>
      <c r="L178" s="257"/>
      <c r="M178" s="257"/>
      <c r="N178" s="257"/>
      <c r="O178" s="257"/>
      <c r="P178" s="257"/>
      <c r="Q178" s="257"/>
    </row>
    <row r="179" spans="2:17" ht="43.2" x14ac:dyDescent="0.3">
      <c r="B179" s="72" t="s">
        <v>1</v>
      </c>
      <c r="C179" s="224" t="s">
        <v>2</v>
      </c>
      <c r="D179" s="224"/>
      <c r="E179" s="98" t="s">
        <v>3</v>
      </c>
      <c r="F179" s="3" t="s">
        <v>125</v>
      </c>
      <c r="G179" s="98" t="s">
        <v>126</v>
      </c>
      <c r="H179" s="3" t="s">
        <v>127</v>
      </c>
      <c r="I179" s="3" t="s">
        <v>128</v>
      </c>
      <c r="J179" s="3" t="s">
        <v>111</v>
      </c>
      <c r="K179" s="3" t="s">
        <v>129</v>
      </c>
      <c r="L179" s="3" t="s">
        <v>54</v>
      </c>
      <c r="M179" s="3" t="s">
        <v>10</v>
      </c>
      <c r="N179" s="3" t="s">
        <v>11</v>
      </c>
      <c r="O179" s="3" t="s">
        <v>12</v>
      </c>
      <c r="P179" s="98" t="s">
        <v>13</v>
      </c>
      <c r="Q179" s="98" t="s">
        <v>14</v>
      </c>
    </row>
    <row r="180" spans="2:17" x14ac:dyDescent="0.3">
      <c r="B180" s="251" t="s">
        <v>130</v>
      </c>
      <c r="C180" s="226" t="s">
        <v>31</v>
      </c>
      <c r="D180" s="94" t="s">
        <v>18</v>
      </c>
      <c r="E180" s="129">
        <v>450</v>
      </c>
      <c r="F180" s="129">
        <v>160</v>
      </c>
      <c r="G180" s="70">
        <v>160</v>
      </c>
      <c r="H180" s="70">
        <v>97.87</v>
      </c>
      <c r="I180" s="70">
        <v>340</v>
      </c>
      <c r="J180" s="70">
        <v>60</v>
      </c>
      <c r="K180" s="183">
        <v>97.87</v>
      </c>
      <c r="L180" s="71">
        <f>SUM(E180:K180)</f>
        <v>1365.7399999999998</v>
      </c>
      <c r="M180" s="70">
        <v>200</v>
      </c>
      <c r="N180" s="71">
        <f>L180+M180</f>
        <v>1565.7399999999998</v>
      </c>
      <c r="O180" s="173" t="s">
        <v>131</v>
      </c>
      <c r="P180" s="180" t="s">
        <v>21</v>
      </c>
      <c r="Q180" s="69" t="s">
        <v>74</v>
      </c>
    </row>
    <row r="181" spans="2:17" x14ac:dyDescent="0.3">
      <c r="B181" s="281"/>
      <c r="C181" s="226"/>
      <c r="D181" s="94" t="s">
        <v>24</v>
      </c>
      <c r="E181" s="129">
        <v>600</v>
      </c>
      <c r="F181" s="129">
        <v>320</v>
      </c>
      <c r="G181" s="70">
        <v>210</v>
      </c>
      <c r="H181" s="70">
        <v>97.87</v>
      </c>
      <c r="I181" s="70">
        <v>340</v>
      </c>
      <c r="J181" s="70">
        <v>60</v>
      </c>
      <c r="K181" s="183">
        <v>97.87</v>
      </c>
      <c r="L181" s="71">
        <f>SUM(E181:K181)</f>
        <v>1725.7399999999998</v>
      </c>
      <c r="M181" s="70">
        <v>200</v>
      </c>
      <c r="N181" s="71">
        <f>L181+M181</f>
        <v>1925.7399999999998</v>
      </c>
      <c r="O181" s="173" t="s">
        <v>131</v>
      </c>
      <c r="P181" s="180" t="s">
        <v>21</v>
      </c>
      <c r="Q181" s="69" t="s">
        <v>74</v>
      </c>
    </row>
    <row r="1048576" spans="3:3" x14ac:dyDescent="0.3">
      <c r="C1048576" s="103"/>
    </row>
  </sheetData>
  <mergeCells count="134">
    <mergeCell ref="B178:Q178"/>
    <mergeCell ref="C179:D179"/>
    <mergeCell ref="B180:B181"/>
    <mergeCell ref="C180:C181"/>
    <mergeCell ref="B8:P8"/>
    <mergeCell ref="C9:D9"/>
    <mergeCell ref="B10:B13"/>
    <mergeCell ref="C10:C11"/>
    <mergeCell ref="C12:C13"/>
    <mergeCell ref="B14:B15"/>
    <mergeCell ref="C14:C15"/>
    <mergeCell ref="B35:P35"/>
    <mergeCell ref="C36:D36"/>
    <mergeCell ref="O36:P36"/>
    <mergeCell ref="B37:B38"/>
    <mergeCell ref="O37:P38"/>
    <mergeCell ref="O39:P39"/>
    <mergeCell ref="B16:B17"/>
    <mergeCell ref="C16:C17"/>
    <mergeCell ref="B18:B21"/>
    <mergeCell ref="C18:C19"/>
    <mergeCell ref="C20:C21"/>
    <mergeCell ref="B24:P27"/>
    <mergeCell ref="B58:B59"/>
    <mergeCell ref="C58:C59"/>
    <mergeCell ref="R58:S59"/>
    <mergeCell ref="B62:B63"/>
    <mergeCell ref="C62:C63"/>
    <mergeCell ref="R62:S63"/>
    <mergeCell ref="O40:P40"/>
    <mergeCell ref="B43:Q46"/>
    <mergeCell ref="B56:S56"/>
    <mergeCell ref="C57:D57"/>
    <mergeCell ref="R57:S57"/>
    <mergeCell ref="B60:B61"/>
    <mergeCell ref="C60:C61"/>
    <mergeCell ref="R60:S61"/>
    <mergeCell ref="B68:B69"/>
    <mergeCell ref="C68:C69"/>
    <mergeCell ref="B70:B71"/>
    <mergeCell ref="C70:C71"/>
    <mergeCell ref="R70:S71"/>
    <mergeCell ref="B64:B65"/>
    <mergeCell ref="C64:C65"/>
    <mergeCell ref="B66:B67"/>
    <mergeCell ref="C66:C67"/>
    <mergeCell ref="R66:S67"/>
    <mergeCell ref="R64:S65"/>
    <mergeCell ref="R68:S69"/>
    <mergeCell ref="B76:B77"/>
    <mergeCell ref="C76:C77"/>
    <mergeCell ref="R76:S77"/>
    <mergeCell ref="B78:B79"/>
    <mergeCell ref="C78:C79"/>
    <mergeCell ref="R78:S79"/>
    <mergeCell ref="B72:B73"/>
    <mergeCell ref="C72:C73"/>
    <mergeCell ref="R72:S73"/>
    <mergeCell ref="B74:B75"/>
    <mergeCell ref="C74:C75"/>
    <mergeCell ref="R74:S74"/>
    <mergeCell ref="R75:S75"/>
    <mergeCell ref="B84:B85"/>
    <mergeCell ref="C84:C85"/>
    <mergeCell ref="R84:S85"/>
    <mergeCell ref="B80:B81"/>
    <mergeCell ref="C80:C81"/>
    <mergeCell ref="R80:S81"/>
    <mergeCell ref="B82:S82"/>
    <mergeCell ref="C83:D83"/>
    <mergeCell ref="R83:S83"/>
    <mergeCell ref="B90:S90"/>
    <mergeCell ref="C91:D91"/>
    <mergeCell ref="R91:S91"/>
    <mergeCell ref="B92:B93"/>
    <mergeCell ref="C92:C93"/>
    <mergeCell ref="R92:S93"/>
    <mergeCell ref="B86:S86"/>
    <mergeCell ref="C87:D87"/>
    <mergeCell ref="R87:S87"/>
    <mergeCell ref="B88:B89"/>
    <mergeCell ref="C88:C89"/>
    <mergeCell ref="R88:S89"/>
    <mergeCell ref="B98:S98"/>
    <mergeCell ref="C99:D99"/>
    <mergeCell ref="R99:S99"/>
    <mergeCell ref="R100:S100"/>
    <mergeCell ref="B101:B102"/>
    <mergeCell ref="C101:C102"/>
    <mergeCell ref="R101:S101"/>
    <mergeCell ref="R102:S102"/>
    <mergeCell ref="B94:S94"/>
    <mergeCell ref="C95:D95"/>
    <mergeCell ref="R95:S95"/>
    <mergeCell ref="B96:B97"/>
    <mergeCell ref="C96:C97"/>
    <mergeCell ref="R96:S97"/>
    <mergeCell ref="B107:S107"/>
    <mergeCell ref="C108:D108"/>
    <mergeCell ref="R108:S108"/>
    <mergeCell ref="B109:B110"/>
    <mergeCell ref="C109:C110"/>
    <mergeCell ref="R109:S110"/>
    <mergeCell ref="B103:S103"/>
    <mergeCell ref="C104:D104"/>
    <mergeCell ref="R104:S104"/>
    <mergeCell ref="B105:B106"/>
    <mergeCell ref="C105:C106"/>
    <mergeCell ref="R105:S106"/>
    <mergeCell ref="B131:Q134"/>
    <mergeCell ref="B141:P141"/>
    <mergeCell ref="C142:D142"/>
    <mergeCell ref="B144:B145"/>
    <mergeCell ref="C144:C145"/>
    <mergeCell ref="B148:P148"/>
    <mergeCell ref="B150:B151"/>
    <mergeCell ref="C150:C151"/>
    <mergeCell ref="B112:S112"/>
    <mergeCell ref="B113:S116"/>
    <mergeCell ref="B125:P125"/>
    <mergeCell ref="C126:D126"/>
    <mergeCell ref="O126:Q126"/>
    <mergeCell ref="B127:B128"/>
    <mergeCell ref="C127:C128"/>
    <mergeCell ref="O127:Q128"/>
    <mergeCell ref="B167:P167"/>
    <mergeCell ref="C168:D168"/>
    <mergeCell ref="B169:B170"/>
    <mergeCell ref="C169:C170"/>
    <mergeCell ref="B173:Q176"/>
    <mergeCell ref="C149:D149"/>
    <mergeCell ref="B152:B153"/>
    <mergeCell ref="C152:C153"/>
    <mergeCell ref="B156:Q159"/>
  </mergeCells>
  <phoneticPr fontId="14"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FEE5C-26F0-4874-8CD0-616CE24F986B}">
  <dimension ref="B9:VHC132"/>
  <sheetViews>
    <sheetView topLeftCell="A118" zoomScale="101" zoomScaleNormal="100" zoomScaleSheetLayoutView="100" workbookViewId="0">
      <selection activeCell="G143" sqref="G143"/>
    </sheetView>
  </sheetViews>
  <sheetFormatPr defaultColWidth="8.5546875" defaultRowHeight="14.4" x14ac:dyDescent="0.3"/>
  <cols>
    <col min="1" max="1" width="8.88671875" style="17" customWidth="1"/>
    <col min="2" max="2" width="34.5546875" style="17" customWidth="1"/>
    <col min="3" max="3" width="11.6640625" style="27" bestFit="1" customWidth="1"/>
    <col min="4" max="4" width="7.109375" style="17" bestFit="1" customWidth="1"/>
    <col min="5" max="5" width="12.33203125" style="17" customWidth="1"/>
    <col min="6" max="6" width="13.5546875" style="17" customWidth="1"/>
    <col min="7" max="7" width="11.6640625" style="17" customWidth="1"/>
    <col min="8" max="8" width="14.44140625" style="17" bestFit="1" customWidth="1"/>
    <col min="9" max="9" width="14.44140625" style="17" customWidth="1"/>
    <col min="10" max="10" width="16" style="17" bestFit="1" customWidth="1"/>
    <col min="11" max="11" width="13.5546875" style="17" customWidth="1"/>
    <col min="12" max="12" width="16.109375" style="17" customWidth="1"/>
    <col min="13" max="13" width="11.33203125" style="17" customWidth="1"/>
    <col min="14" max="14" width="12.109375" style="17" customWidth="1"/>
    <col min="15" max="15" width="11.33203125" style="17" bestFit="1" customWidth="1"/>
    <col min="16" max="16" width="29.5546875" style="17" customWidth="1"/>
    <col min="17" max="17" width="10.44140625" style="17" customWidth="1"/>
    <col min="18" max="18" width="10.33203125" style="17" customWidth="1"/>
    <col min="19" max="19" width="14.44140625" style="17" customWidth="1"/>
    <col min="20" max="20" width="9.33203125" style="17" customWidth="1"/>
    <col min="21" max="21" width="35.33203125" style="17" customWidth="1"/>
    <col min="22" max="16384" width="8.5546875" style="17"/>
  </cols>
  <sheetData>
    <row r="9" spans="2:17" ht="28.8" x14ac:dyDescent="0.3">
      <c r="B9" s="257" t="s">
        <v>132</v>
      </c>
      <c r="C9" s="257"/>
      <c r="D9" s="257"/>
      <c r="E9" s="257"/>
      <c r="F9" s="257"/>
      <c r="G9" s="257"/>
      <c r="H9" s="257"/>
      <c r="I9" s="257"/>
      <c r="J9" s="257"/>
      <c r="K9" s="257"/>
      <c r="L9" s="257"/>
      <c r="M9" s="257"/>
      <c r="N9" s="257"/>
      <c r="O9" s="257"/>
      <c r="P9" s="257"/>
      <c r="Q9" s="257"/>
    </row>
    <row r="10" spans="2:17" ht="28.8" x14ac:dyDescent="0.3">
      <c r="B10" s="1" t="s">
        <v>1</v>
      </c>
      <c r="C10" s="320" t="s">
        <v>2</v>
      </c>
      <c r="D10" s="320"/>
      <c r="E10" s="8" t="s">
        <v>3</v>
      </c>
      <c r="F10" s="9" t="s">
        <v>4</v>
      </c>
      <c r="G10" s="9" t="s">
        <v>5</v>
      </c>
      <c r="H10" s="9" t="s">
        <v>6</v>
      </c>
      <c r="I10" s="84" t="s">
        <v>7</v>
      </c>
      <c r="J10" s="9" t="s">
        <v>8</v>
      </c>
      <c r="K10" s="2" t="s">
        <v>9</v>
      </c>
      <c r="L10" s="2" t="s">
        <v>10</v>
      </c>
      <c r="M10" s="2" t="s">
        <v>11</v>
      </c>
      <c r="N10" s="8" t="s">
        <v>12</v>
      </c>
      <c r="O10" s="9" t="s">
        <v>13</v>
      </c>
      <c r="P10" s="10" t="s">
        <v>14</v>
      </c>
      <c r="Q10" s="15" t="s">
        <v>133</v>
      </c>
    </row>
    <row r="11" spans="2:17" x14ac:dyDescent="0.3">
      <c r="B11" s="243" t="s">
        <v>16</v>
      </c>
      <c r="C11" s="243" t="s">
        <v>130</v>
      </c>
      <c r="D11" s="42" t="s">
        <v>18</v>
      </c>
      <c r="E11" s="137">
        <f>(1825+265)+550</f>
        <v>2640</v>
      </c>
      <c r="F11" s="137">
        <v>175</v>
      </c>
      <c r="G11" s="137">
        <v>75</v>
      </c>
      <c r="H11" s="137">
        <v>14</v>
      </c>
      <c r="I11" s="137">
        <v>50</v>
      </c>
      <c r="J11" s="137">
        <v>150</v>
      </c>
      <c r="K11" s="137">
        <f t="shared" ref="K11:K18" si="0">SUM(D11:J11)</f>
        <v>3104</v>
      </c>
      <c r="L11" s="45">
        <v>200</v>
      </c>
      <c r="M11" s="44">
        <f t="shared" ref="M11:M18" si="1">K11+L11</f>
        <v>3304</v>
      </c>
      <c r="N11" s="46" t="s">
        <v>134</v>
      </c>
      <c r="O11" s="23" t="s">
        <v>21</v>
      </c>
      <c r="P11" s="40" t="s">
        <v>25</v>
      </c>
      <c r="Q11" s="40" t="s">
        <v>135</v>
      </c>
    </row>
    <row r="12" spans="2:17" x14ac:dyDescent="0.3">
      <c r="B12" s="243"/>
      <c r="C12" s="243"/>
      <c r="D12" s="42" t="s">
        <v>24</v>
      </c>
      <c r="E12" s="137">
        <f>(2690+530)+680</f>
        <v>3900</v>
      </c>
      <c r="F12" s="137">
        <v>225</v>
      </c>
      <c r="G12" s="137">
        <v>75</v>
      </c>
      <c r="H12" s="137">
        <v>14</v>
      </c>
      <c r="I12" s="137">
        <v>50</v>
      </c>
      <c r="J12" s="137">
        <v>300</v>
      </c>
      <c r="K12" s="137">
        <f t="shared" si="0"/>
        <v>4564</v>
      </c>
      <c r="L12" s="45">
        <v>200</v>
      </c>
      <c r="M12" s="44">
        <f t="shared" si="1"/>
        <v>4764</v>
      </c>
      <c r="N12" s="46" t="s">
        <v>134</v>
      </c>
      <c r="O12" s="23" t="s">
        <v>21</v>
      </c>
      <c r="P12" s="40" t="s">
        <v>25</v>
      </c>
      <c r="Q12" s="40" t="s">
        <v>135</v>
      </c>
    </row>
    <row r="13" spans="2:17" x14ac:dyDescent="0.3">
      <c r="B13" s="243" t="s">
        <v>26</v>
      </c>
      <c r="C13" s="243" t="s">
        <v>130</v>
      </c>
      <c r="D13" s="42" t="s">
        <v>18</v>
      </c>
      <c r="E13" s="137">
        <f>(2375+265)+560</f>
        <v>3200</v>
      </c>
      <c r="F13" s="137">
        <v>175</v>
      </c>
      <c r="G13" s="137">
        <v>75</v>
      </c>
      <c r="H13" s="137">
        <v>14</v>
      </c>
      <c r="I13" s="137">
        <v>50</v>
      </c>
      <c r="J13" s="137">
        <v>150</v>
      </c>
      <c r="K13" s="137">
        <f t="shared" si="0"/>
        <v>3664</v>
      </c>
      <c r="L13" s="45">
        <v>200</v>
      </c>
      <c r="M13" s="44">
        <f t="shared" si="1"/>
        <v>3864</v>
      </c>
      <c r="N13" s="46" t="s">
        <v>136</v>
      </c>
      <c r="O13" s="23" t="s">
        <v>21</v>
      </c>
      <c r="P13" s="40" t="s">
        <v>25</v>
      </c>
      <c r="Q13" s="40" t="s">
        <v>135</v>
      </c>
    </row>
    <row r="14" spans="2:17" x14ac:dyDescent="0.3">
      <c r="B14" s="243"/>
      <c r="C14" s="243"/>
      <c r="D14" s="42" t="s">
        <v>24</v>
      </c>
      <c r="E14" s="137">
        <f>(3375+530)+600</f>
        <v>4505</v>
      </c>
      <c r="F14" s="137">
        <v>225</v>
      </c>
      <c r="G14" s="137">
        <v>75</v>
      </c>
      <c r="H14" s="137">
        <v>14</v>
      </c>
      <c r="I14" s="137">
        <v>50</v>
      </c>
      <c r="J14" s="137">
        <v>300</v>
      </c>
      <c r="K14" s="137">
        <f t="shared" si="0"/>
        <v>5169</v>
      </c>
      <c r="L14" s="45">
        <v>200</v>
      </c>
      <c r="M14" s="44">
        <f t="shared" si="1"/>
        <v>5369</v>
      </c>
      <c r="N14" s="46" t="s">
        <v>136</v>
      </c>
      <c r="O14" s="23" t="s">
        <v>21</v>
      </c>
      <c r="P14" s="40" t="s">
        <v>25</v>
      </c>
      <c r="Q14" s="40" t="s">
        <v>135</v>
      </c>
    </row>
    <row r="15" spans="2:17" x14ac:dyDescent="0.3">
      <c r="B15" s="295" t="s">
        <v>28</v>
      </c>
      <c r="C15" s="243" t="s">
        <v>130</v>
      </c>
      <c r="D15" s="42" t="s">
        <v>18</v>
      </c>
      <c r="E15" s="137">
        <f>(2675+265)+550</f>
        <v>3490</v>
      </c>
      <c r="F15" s="137">
        <v>175</v>
      </c>
      <c r="G15" s="137">
        <v>75</v>
      </c>
      <c r="H15" s="137">
        <v>14</v>
      </c>
      <c r="I15" s="137">
        <v>50</v>
      </c>
      <c r="J15" s="137">
        <v>150</v>
      </c>
      <c r="K15" s="137">
        <f t="shared" si="0"/>
        <v>3954</v>
      </c>
      <c r="L15" s="45">
        <v>200</v>
      </c>
      <c r="M15" s="44">
        <f t="shared" si="1"/>
        <v>4154</v>
      </c>
      <c r="N15" s="46" t="s">
        <v>137</v>
      </c>
      <c r="O15" s="23" t="s">
        <v>21</v>
      </c>
      <c r="P15" s="40" t="s">
        <v>25</v>
      </c>
      <c r="Q15" s="40" t="s">
        <v>135</v>
      </c>
    </row>
    <row r="16" spans="2:17" x14ac:dyDescent="0.3">
      <c r="B16" s="295"/>
      <c r="C16" s="243"/>
      <c r="D16" s="42" t="s">
        <v>24</v>
      </c>
      <c r="E16" s="137">
        <f>(3750+530)+725</f>
        <v>5005</v>
      </c>
      <c r="F16" s="137">
        <v>225</v>
      </c>
      <c r="G16" s="137">
        <v>75</v>
      </c>
      <c r="H16" s="137">
        <v>14</v>
      </c>
      <c r="I16" s="137">
        <v>50</v>
      </c>
      <c r="J16" s="137">
        <v>300</v>
      </c>
      <c r="K16" s="137">
        <f t="shared" si="0"/>
        <v>5669</v>
      </c>
      <c r="L16" s="45">
        <v>200</v>
      </c>
      <c r="M16" s="44">
        <f t="shared" si="1"/>
        <v>5869</v>
      </c>
      <c r="N16" s="46" t="s">
        <v>137</v>
      </c>
      <c r="O16" s="23" t="s">
        <v>21</v>
      </c>
      <c r="P16" s="40" t="s">
        <v>25</v>
      </c>
      <c r="Q16" s="40" t="s">
        <v>135</v>
      </c>
    </row>
    <row r="17" spans="2:18" x14ac:dyDescent="0.3">
      <c r="B17" s="243" t="s">
        <v>138</v>
      </c>
      <c r="C17" s="243" t="s">
        <v>130</v>
      </c>
      <c r="D17" s="42" t="s">
        <v>18</v>
      </c>
      <c r="E17" s="137">
        <f>(2375+265)+560</f>
        <v>3200</v>
      </c>
      <c r="F17" s="137">
        <v>175</v>
      </c>
      <c r="G17" s="137">
        <v>75</v>
      </c>
      <c r="H17" s="137">
        <v>14</v>
      </c>
      <c r="I17" s="137">
        <v>50</v>
      </c>
      <c r="J17" s="137">
        <v>150</v>
      </c>
      <c r="K17" s="137">
        <f t="shared" si="0"/>
        <v>3664</v>
      </c>
      <c r="L17" s="45">
        <v>200</v>
      </c>
      <c r="M17" s="44">
        <f t="shared" si="1"/>
        <v>3864</v>
      </c>
      <c r="N17" s="46" t="s">
        <v>139</v>
      </c>
      <c r="O17" s="23" t="s">
        <v>21</v>
      </c>
      <c r="P17" s="40" t="s">
        <v>25</v>
      </c>
      <c r="Q17" s="40" t="s">
        <v>135</v>
      </c>
    </row>
    <row r="18" spans="2:18" x14ac:dyDescent="0.3">
      <c r="B18" s="243"/>
      <c r="C18" s="243"/>
      <c r="D18" s="42" t="s">
        <v>24</v>
      </c>
      <c r="E18" s="137">
        <f>(3375+530)+600</f>
        <v>4505</v>
      </c>
      <c r="F18" s="137">
        <v>225</v>
      </c>
      <c r="G18" s="137">
        <v>75</v>
      </c>
      <c r="H18" s="137">
        <v>14</v>
      </c>
      <c r="I18" s="137">
        <v>50</v>
      </c>
      <c r="J18" s="137">
        <v>300</v>
      </c>
      <c r="K18" s="137">
        <f t="shared" si="0"/>
        <v>5169</v>
      </c>
      <c r="L18" s="45">
        <v>200</v>
      </c>
      <c r="M18" s="44">
        <f t="shared" si="1"/>
        <v>5369</v>
      </c>
      <c r="N18" s="46" t="s">
        <v>139</v>
      </c>
      <c r="O18" s="23" t="s">
        <v>21</v>
      </c>
      <c r="P18" s="40" t="s">
        <v>25</v>
      </c>
      <c r="Q18" s="40" t="s">
        <v>135</v>
      </c>
    </row>
    <row r="19" spans="2:18" x14ac:dyDescent="0.3">
      <c r="B19" s="26"/>
      <c r="C19" s="26"/>
      <c r="E19" s="55"/>
      <c r="F19" s="51"/>
      <c r="G19" s="51"/>
      <c r="H19" s="51"/>
      <c r="I19" s="51"/>
      <c r="J19" s="52"/>
      <c r="K19" s="52"/>
      <c r="L19" s="52"/>
      <c r="M19" s="52"/>
      <c r="N19" s="50"/>
      <c r="O19" s="52"/>
      <c r="P19" s="53"/>
      <c r="Q19" s="28"/>
    </row>
    <row r="20" spans="2:18" ht="15.6" x14ac:dyDescent="0.3">
      <c r="B20" s="306" t="s">
        <v>34</v>
      </c>
      <c r="C20" s="307"/>
      <c r="D20" s="307"/>
      <c r="E20" s="307"/>
      <c r="F20" s="307"/>
      <c r="G20" s="307"/>
      <c r="H20" s="307"/>
      <c r="I20" s="307"/>
      <c r="J20" s="307"/>
      <c r="K20" s="307"/>
      <c r="L20" s="307"/>
      <c r="M20" s="307"/>
      <c r="N20" s="307"/>
      <c r="O20" s="307"/>
      <c r="P20" s="307"/>
      <c r="Q20" s="307"/>
      <c r="R20" s="308"/>
    </row>
    <row r="21" spans="2:18" ht="14.4" customHeight="1" x14ac:dyDescent="0.3">
      <c r="B21" s="309" t="s">
        <v>35</v>
      </c>
      <c r="C21" s="310"/>
      <c r="D21" s="310"/>
      <c r="E21" s="310"/>
      <c r="F21" s="310"/>
      <c r="G21" s="310"/>
      <c r="H21" s="310"/>
      <c r="I21" s="310"/>
      <c r="J21" s="310"/>
      <c r="K21" s="310"/>
      <c r="L21" s="310"/>
      <c r="M21" s="310"/>
      <c r="N21" s="310"/>
      <c r="O21" s="310"/>
      <c r="P21" s="310"/>
      <c r="Q21" s="310"/>
      <c r="R21" s="311"/>
    </row>
    <row r="22" spans="2:18" x14ac:dyDescent="0.3">
      <c r="B22" s="312"/>
      <c r="C22" s="237"/>
      <c r="D22" s="237"/>
      <c r="E22" s="237"/>
      <c r="F22" s="237"/>
      <c r="G22" s="237"/>
      <c r="H22" s="237"/>
      <c r="I22" s="237"/>
      <c r="J22" s="237"/>
      <c r="K22" s="237"/>
      <c r="L22" s="237"/>
      <c r="M22" s="237"/>
      <c r="N22" s="237"/>
      <c r="O22" s="237"/>
      <c r="P22" s="237"/>
      <c r="Q22" s="237"/>
      <c r="R22" s="313"/>
    </row>
    <row r="23" spans="2:18" x14ac:dyDescent="0.3">
      <c r="B23" s="312"/>
      <c r="C23" s="237"/>
      <c r="D23" s="237"/>
      <c r="E23" s="237"/>
      <c r="F23" s="237"/>
      <c r="G23" s="237"/>
      <c r="H23" s="237"/>
      <c r="I23" s="237"/>
      <c r="J23" s="237"/>
      <c r="K23" s="237"/>
      <c r="L23" s="237"/>
      <c r="M23" s="237"/>
      <c r="N23" s="237"/>
      <c r="O23" s="237"/>
      <c r="P23" s="237"/>
      <c r="Q23" s="237"/>
      <c r="R23" s="313"/>
    </row>
    <row r="24" spans="2:18" x14ac:dyDescent="0.3">
      <c r="B24" s="314"/>
      <c r="C24" s="315"/>
      <c r="D24" s="315"/>
      <c r="E24" s="315"/>
      <c r="F24" s="315"/>
      <c r="G24" s="315"/>
      <c r="H24" s="315"/>
      <c r="I24" s="315"/>
      <c r="J24" s="315"/>
      <c r="K24" s="315"/>
      <c r="L24" s="315"/>
      <c r="M24" s="315"/>
      <c r="N24" s="315"/>
      <c r="O24" s="315"/>
      <c r="P24" s="315"/>
      <c r="Q24" s="315"/>
      <c r="R24" s="316"/>
    </row>
    <row r="25" spans="2:18" x14ac:dyDescent="0.3">
      <c r="B25" s="26"/>
      <c r="C25" s="26"/>
      <c r="E25" s="55"/>
      <c r="F25" s="51"/>
      <c r="G25" s="51"/>
      <c r="H25" s="51"/>
      <c r="I25" s="51"/>
      <c r="J25" s="52"/>
      <c r="K25" s="52"/>
      <c r="L25" s="52"/>
      <c r="M25" s="52"/>
      <c r="N25" s="50"/>
      <c r="O25" s="52"/>
      <c r="P25" s="53"/>
      <c r="Q25" s="28"/>
    </row>
    <row r="26" spans="2:18" x14ac:dyDescent="0.3">
      <c r="B26" s="26"/>
      <c r="C26" s="26"/>
      <c r="E26" s="55"/>
      <c r="F26" s="51"/>
      <c r="G26" s="51"/>
      <c r="H26" s="51"/>
      <c r="I26" s="51"/>
      <c r="J26" s="52"/>
      <c r="K26" s="52"/>
      <c r="L26" s="52"/>
      <c r="M26" s="52"/>
      <c r="N26" s="50"/>
      <c r="O26" s="52"/>
      <c r="P26" s="53"/>
      <c r="Q26" s="28"/>
    </row>
    <row r="27" spans="2:18" x14ac:dyDescent="0.3">
      <c r="B27" s="26"/>
      <c r="C27" s="26"/>
      <c r="E27" s="55"/>
      <c r="F27" s="51"/>
      <c r="G27" s="51"/>
      <c r="H27" s="51"/>
      <c r="I27" s="51"/>
      <c r="J27" s="52"/>
      <c r="K27" s="52"/>
      <c r="L27" s="52"/>
      <c r="M27" s="52"/>
      <c r="N27" s="50"/>
      <c r="O27" s="52"/>
      <c r="P27" s="53"/>
      <c r="Q27" s="28"/>
    </row>
    <row r="28" spans="2:18" x14ac:dyDescent="0.3">
      <c r="B28" s="26"/>
      <c r="C28" s="26"/>
      <c r="E28" s="55"/>
      <c r="F28" s="51"/>
      <c r="G28" s="51"/>
      <c r="H28" s="51"/>
      <c r="I28" s="51"/>
      <c r="J28" s="52"/>
      <c r="K28" s="52"/>
      <c r="L28" s="52"/>
      <c r="M28" s="52"/>
      <c r="N28" s="50"/>
      <c r="O28" s="52"/>
      <c r="P28" s="53"/>
      <c r="Q28" s="28"/>
    </row>
    <row r="29" spans="2:18" x14ac:dyDescent="0.3">
      <c r="B29" s="26"/>
      <c r="C29" s="26"/>
      <c r="E29" s="55"/>
      <c r="F29" s="51"/>
      <c r="G29" s="51"/>
      <c r="H29" s="51"/>
      <c r="I29" s="51"/>
      <c r="J29" s="52"/>
      <c r="K29" s="52"/>
      <c r="L29" s="52"/>
      <c r="M29" s="52"/>
      <c r="N29" s="50"/>
      <c r="O29" s="52"/>
      <c r="P29" s="53"/>
      <c r="Q29" s="28"/>
    </row>
    <row r="30" spans="2:18" x14ac:dyDescent="0.3">
      <c r="B30" s="26"/>
      <c r="C30" s="26"/>
      <c r="E30" s="55"/>
      <c r="F30" s="51"/>
      <c r="G30" s="51"/>
      <c r="H30" s="51"/>
      <c r="I30" s="51"/>
      <c r="J30" s="52"/>
      <c r="K30" s="52"/>
      <c r="L30" s="52"/>
      <c r="M30" s="52"/>
      <c r="N30" s="50"/>
      <c r="O30" s="52"/>
      <c r="P30" s="53"/>
      <c r="Q30" s="28"/>
    </row>
    <row r="31" spans="2:18" x14ac:dyDescent="0.3">
      <c r="B31" s="26"/>
      <c r="C31" s="26"/>
      <c r="E31" s="55"/>
      <c r="F31" s="51"/>
      <c r="G31" s="51"/>
      <c r="H31" s="51"/>
      <c r="I31" s="51"/>
      <c r="J31" s="52"/>
      <c r="K31" s="52"/>
      <c r="L31" s="52"/>
      <c r="M31" s="52"/>
      <c r="N31" s="50"/>
      <c r="O31" s="52"/>
      <c r="P31" s="53"/>
      <c r="Q31" s="28"/>
    </row>
    <row r="32" spans="2:18" x14ac:dyDescent="0.3">
      <c r="B32" s="26"/>
      <c r="C32" s="26"/>
      <c r="E32" s="55"/>
      <c r="F32" s="51"/>
      <c r="G32" s="51"/>
      <c r="H32" s="51"/>
      <c r="I32" s="51"/>
      <c r="J32" s="52"/>
      <c r="K32" s="52"/>
      <c r="L32" s="52"/>
      <c r="M32" s="52"/>
      <c r="N32" s="50"/>
      <c r="O32" s="52"/>
      <c r="P32" s="53"/>
      <c r="Q32" s="28"/>
    </row>
    <row r="33" spans="2:21" x14ac:dyDescent="0.3">
      <c r="B33" s="26"/>
      <c r="C33" s="26"/>
      <c r="E33" s="55"/>
      <c r="F33" s="51"/>
      <c r="G33" s="51"/>
      <c r="H33" s="51"/>
      <c r="I33" s="51"/>
      <c r="J33" s="52"/>
      <c r="K33" s="52"/>
      <c r="L33" s="52"/>
      <c r="M33" s="52"/>
      <c r="N33" s="50"/>
      <c r="O33" s="52"/>
      <c r="P33" s="53"/>
      <c r="Q33" s="28"/>
    </row>
    <row r="34" spans="2:21" ht="28.8" x14ac:dyDescent="0.3">
      <c r="B34" s="297" t="s">
        <v>140</v>
      </c>
      <c r="C34" s="297"/>
      <c r="D34" s="297"/>
      <c r="E34" s="297"/>
      <c r="F34" s="297"/>
      <c r="G34" s="297"/>
      <c r="H34" s="297"/>
      <c r="I34" s="297"/>
      <c r="J34" s="297"/>
      <c r="K34" s="297"/>
      <c r="L34" s="297"/>
      <c r="M34" s="297"/>
      <c r="N34" s="297"/>
      <c r="O34" s="297"/>
      <c r="P34" s="297"/>
      <c r="Q34" s="297"/>
      <c r="R34" s="297"/>
    </row>
    <row r="35" spans="2:21" ht="28.8" x14ac:dyDescent="0.3">
      <c r="B35" s="1" t="s">
        <v>1</v>
      </c>
      <c r="C35" s="320" t="s">
        <v>2</v>
      </c>
      <c r="D35" s="320"/>
      <c r="E35" s="105" t="s">
        <v>141</v>
      </c>
      <c r="F35" s="105" t="s">
        <v>142</v>
      </c>
      <c r="G35" s="11" t="s">
        <v>106</v>
      </c>
      <c r="H35" s="105" t="s">
        <v>6</v>
      </c>
      <c r="I35" s="2" t="s">
        <v>9</v>
      </c>
      <c r="J35" s="2" t="s">
        <v>10</v>
      </c>
      <c r="K35" s="2" t="s">
        <v>11</v>
      </c>
      <c r="L35" s="8" t="s">
        <v>12</v>
      </c>
      <c r="M35" s="9" t="s">
        <v>13</v>
      </c>
      <c r="N35" s="9" t="s">
        <v>14</v>
      </c>
      <c r="O35" s="102" t="s">
        <v>133</v>
      </c>
      <c r="P35" s="224" t="s">
        <v>38</v>
      </c>
      <c r="Q35" s="224"/>
      <c r="R35" s="224"/>
      <c r="U35" s="98" t="s">
        <v>15</v>
      </c>
    </row>
    <row r="36" spans="2:21" ht="14.4" customHeight="1" x14ac:dyDescent="0.3">
      <c r="B36" s="298" t="s">
        <v>143</v>
      </c>
      <c r="C36" s="243" t="s">
        <v>130</v>
      </c>
      <c r="D36" s="42" t="s">
        <v>18</v>
      </c>
      <c r="E36" s="137">
        <f>CEILING((((1860+75)*1.12)),50)</f>
        <v>2200</v>
      </c>
      <c r="F36" s="137">
        <v>200</v>
      </c>
      <c r="G36" s="137">
        <v>150</v>
      </c>
      <c r="H36" s="137">
        <v>35</v>
      </c>
      <c r="I36" s="208">
        <f t="shared" ref="I36:I39" si="2">SUM(E36:H36)</f>
        <v>2585</v>
      </c>
      <c r="J36" s="137">
        <v>200</v>
      </c>
      <c r="K36" s="208">
        <f t="shared" ref="K36:K39" si="3">I36+J36</f>
        <v>2785</v>
      </c>
      <c r="L36" s="34" t="s">
        <v>144</v>
      </c>
      <c r="M36" s="23" t="s">
        <v>21</v>
      </c>
      <c r="N36" s="18" t="s">
        <v>66</v>
      </c>
      <c r="O36" s="42" t="s">
        <v>135</v>
      </c>
      <c r="P36" s="299" t="s">
        <v>145</v>
      </c>
      <c r="Q36" s="331"/>
      <c r="R36" s="300"/>
      <c r="U36" s="42" t="s">
        <v>146</v>
      </c>
    </row>
    <row r="37" spans="2:21" x14ac:dyDescent="0.3">
      <c r="B37" s="298"/>
      <c r="C37" s="243"/>
      <c r="D37" s="42" t="s">
        <v>24</v>
      </c>
      <c r="E37" s="137">
        <f>CEILING((((2220+75)*1.12)),50)</f>
        <v>2600</v>
      </c>
      <c r="F37" s="137">
        <v>200</v>
      </c>
      <c r="G37" s="137">
        <v>100</v>
      </c>
      <c r="H37" s="137">
        <v>30</v>
      </c>
      <c r="I37" s="208">
        <f t="shared" si="2"/>
        <v>2930</v>
      </c>
      <c r="J37" s="137">
        <v>200</v>
      </c>
      <c r="K37" s="208">
        <f t="shared" si="3"/>
        <v>3130</v>
      </c>
      <c r="L37" s="83" t="s">
        <v>144</v>
      </c>
      <c r="M37" s="23" t="s">
        <v>21</v>
      </c>
      <c r="N37" s="18" t="s">
        <v>66</v>
      </c>
      <c r="O37" s="42" t="s">
        <v>135</v>
      </c>
      <c r="P37" s="332"/>
      <c r="Q37" s="333"/>
      <c r="R37" s="334"/>
      <c r="U37" s="42" t="s">
        <v>146</v>
      </c>
    </row>
    <row r="38" spans="2:21" x14ac:dyDescent="0.3">
      <c r="B38" s="101" t="s">
        <v>147</v>
      </c>
      <c r="C38" s="18" t="s">
        <v>130</v>
      </c>
      <c r="D38" s="42" t="s">
        <v>18</v>
      </c>
      <c r="E38" s="137">
        <f>CEILING((((2424+50)*1.12)),25)</f>
        <v>2775</v>
      </c>
      <c r="F38" s="137" t="s">
        <v>148</v>
      </c>
      <c r="G38" s="137">
        <v>100</v>
      </c>
      <c r="H38" s="137">
        <v>18</v>
      </c>
      <c r="I38" s="208">
        <f t="shared" si="2"/>
        <v>2893</v>
      </c>
      <c r="J38" s="137">
        <v>200</v>
      </c>
      <c r="K38" s="208">
        <f t="shared" si="3"/>
        <v>3093</v>
      </c>
      <c r="L38" s="83">
        <v>35</v>
      </c>
      <c r="M38" s="23" t="s">
        <v>21</v>
      </c>
      <c r="N38" s="18" t="s">
        <v>46</v>
      </c>
      <c r="O38" s="42" t="s">
        <v>149</v>
      </c>
      <c r="P38" s="328" t="s">
        <v>145</v>
      </c>
      <c r="Q38" s="329"/>
      <c r="R38" s="330"/>
      <c r="U38" s="42" t="s">
        <v>150</v>
      </c>
    </row>
    <row r="39" spans="2:21" ht="27" customHeight="1" x14ac:dyDescent="0.3">
      <c r="B39" s="103" t="s">
        <v>151</v>
      </c>
      <c r="C39" s="18" t="s">
        <v>130</v>
      </c>
      <c r="D39" s="42" t="s">
        <v>24</v>
      </c>
      <c r="E39" s="137">
        <f>CEILING((((2220+75)*1.12)),25)</f>
        <v>2575</v>
      </c>
      <c r="F39" s="137">
        <v>200</v>
      </c>
      <c r="G39" s="137">
        <v>100</v>
      </c>
      <c r="H39" s="137">
        <v>30</v>
      </c>
      <c r="I39" s="208">
        <f t="shared" si="2"/>
        <v>2905</v>
      </c>
      <c r="J39" s="137">
        <v>200</v>
      </c>
      <c r="K39" s="208">
        <f t="shared" si="3"/>
        <v>3105</v>
      </c>
      <c r="L39" s="83" t="s">
        <v>144</v>
      </c>
      <c r="M39" s="23" t="s">
        <v>21</v>
      </c>
      <c r="N39" s="18" t="s">
        <v>66</v>
      </c>
      <c r="O39" s="42" t="s">
        <v>135</v>
      </c>
      <c r="P39" s="328" t="s">
        <v>145</v>
      </c>
      <c r="Q39" s="329"/>
      <c r="R39" s="330"/>
      <c r="U39" s="42" t="s">
        <v>146</v>
      </c>
    </row>
    <row r="40" spans="2:21" x14ac:dyDescent="0.3">
      <c r="B40" s="36"/>
      <c r="E40" s="37"/>
      <c r="F40" s="37"/>
      <c r="G40" s="37"/>
      <c r="H40" s="37"/>
      <c r="I40" s="37"/>
      <c r="J40" s="52"/>
      <c r="K40" s="52"/>
      <c r="L40" s="52"/>
      <c r="M40" s="52"/>
      <c r="N40" s="50"/>
      <c r="O40" s="52"/>
      <c r="P40" s="104"/>
      <c r="Q40" s="89"/>
      <c r="R40" s="81"/>
      <c r="S40" s="90"/>
    </row>
    <row r="41" spans="2:21" ht="15.6" x14ac:dyDescent="0.3">
      <c r="B41" s="5" t="s">
        <v>34</v>
      </c>
      <c r="C41" s="6"/>
      <c r="D41" s="6"/>
      <c r="E41" s="6"/>
      <c r="F41" s="6"/>
      <c r="G41" s="6"/>
      <c r="H41" s="6"/>
      <c r="I41" s="6"/>
      <c r="J41" s="6"/>
      <c r="K41" s="6"/>
      <c r="L41" s="6"/>
      <c r="M41" s="6"/>
      <c r="N41" s="6"/>
      <c r="O41" s="6"/>
      <c r="P41" s="6"/>
      <c r="Q41" s="6"/>
      <c r="R41" s="6"/>
      <c r="S41" s="7"/>
    </row>
    <row r="42" spans="2:21" x14ac:dyDescent="0.3">
      <c r="B42" s="227" t="s">
        <v>35</v>
      </c>
      <c r="C42" s="227"/>
      <c r="D42" s="227"/>
      <c r="E42" s="227"/>
      <c r="F42" s="227"/>
      <c r="G42" s="227"/>
      <c r="H42" s="227"/>
      <c r="I42" s="227"/>
      <c r="J42" s="227"/>
      <c r="K42" s="227"/>
      <c r="L42" s="227"/>
      <c r="M42" s="227"/>
      <c r="N42" s="227"/>
      <c r="O42" s="227"/>
      <c r="P42" s="227"/>
      <c r="Q42" s="227"/>
      <c r="R42" s="227"/>
      <c r="S42" s="227"/>
    </row>
    <row r="43" spans="2:21" x14ac:dyDescent="0.3">
      <c r="B43" s="227"/>
      <c r="C43" s="227"/>
      <c r="D43" s="227"/>
      <c r="E43" s="227"/>
      <c r="F43" s="227"/>
      <c r="G43" s="227"/>
      <c r="H43" s="227"/>
      <c r="I43" s="227"/>
      <c r="J43" s="227"/>
      <c r="K43" s="227"/>
      <c r="L43" s="227"/>
      <c r="M43" s="227"/>
      <c r="N43" s="227"/>
      <c r="O43" s="227"/>
      <c r="P43" s="227"/>
      <c r="Q43" s="227"/>
      <c r="R43" s="227"/>
      <c r="S43" s="227"/>
    </row>
    <row r="44" spans="2:21" x14ac:dyDescent="0.3">
      <c r="B44" s="227"/>
      <c r="C44" s="227"/>
      <c r="D44" s="227"/>
      <c r="E44" s="227"/>
      <c r="F44" s="227"/>
      <c r="G44" s="227"/>
      <c r="H44" s="227"/>
      <c r="I44" s="227"/>
      <c r="J44" s="227"/>
      <c r="K44" s="227"/>
      <c r="L44" s="227"/>
      <c r="M44" s="227"/>
      <c r="N44" s="227"/>
      <c r="O44" s="227"/>
      <c r="P44" s="227"/>
      <c r="Q44" s="227"/>
      <c r="R44" s="227"/>
      <c r="S44" s="227"/>
    </row>
    <row r="45" spans="2:21" x14ac:dyDescent="0.3">
      <c r="B45" s="230"/>
      <c r="C45" s="230"/>
      <c r="D45" s="230"/>
      <c r="E45" s="230"/>
      <c r="F45" s="230"/>
      <c r="G45" s="230"/>
      <c r="H45" s="230"/>
      <c r="I45" s="230"/>
      <c r="J45" s="230"/>
      <c r="K45" s="230"/>
      <c r="L45" s="230"/>
      <c r="M45" s="230"/>
      <c r="N45" s="230"/>
      <c r="O45" s="230"/>
      <c r="P45" s="230"/>
      <c r="Q45" s="230"/>
      <c r="R45" s="230"/>
      <c r="S45" s="230"/>
    </row>
    <row r="46" spans="2:21" x14ac:dyDescent="0.3">
      <c r="B46" s="36"/>
      <c r="E46" s="37"/>
      <c r="F46" s="37"/>
      <c r="G46" s="37"/>
      <c r="H46" s="37"/>
      <c r="I46" s="37"/>
      <c r="J46" s="52"/>
      <c r="K46" s="52"/>
      <c r="L46" s="52"/>
      <c r="M46" s="52"/>
      <c r="N46" s="50"/>
      <c r="O46" s="52"/>
      <c r="P46" s="104"/>
      <c r="Q46" s="28"/>
      <c r="R46" s="104"/>
    </row>
    <row r="47" spans="2:21" x14ac:dyDescent="0.3">
      <c r="B47" s="36"/>
      <c r="E47" s="37"/>
      <c r="F47" s="37"/>
      <c r="G47" s="37"/>
      <c r="H47" s="37"/>
      <c r="I47" s="37"/>
      <c r="J47" s="52"/>
      <c r="K47" s="52"/>
      <c r="L47" s="52"/>
      <c r="M47" s="52"/>
      <c r="N47" s="50"/>
      <c r="O47" s="52"/>
      <c r="P47" s="104"/>
      <c r="Q47" s="28"/>
      <c r="R47" s="104"/>
    </row>
    <row r="48" spans="2:21" x14ac:dyDescent="0.3">
      <c r="B48" s="36"/>
      <c r="E48" s="37"/>
      <c r="F48" s="37"/>
      <c r="G48" s="37"/>
      <c r="H48" s="37"/>
      <c r="I48" s="37"/>
      <c r="J48" s="52"/>
      <c r="K48" s="52"/>
      <c r="L48" s="52"/>
      <c r="M48" s="52"/>
      <c r="N48" s="50"/>
      <c r="O48" s="52"/>
      <c r="P48" s="104"/>
      <c r="Q48" s="28"/>
      <c r="R48" s="104"/>
    </row>
    <row r="49" spans="2:21" x14ac:dyDescent="0.3">
      <c r="B49" s="36"/>
      <c r="E49" s="37"/>
      <c r="F49" s="37"/>
      <c r="G49" s="37"/>
      <c r="H49" s="37"/>
      <c r="I49" s="37"/>
      <c r="J49" s="52"/>
      <c r="K49" s="52"/>
      <c r="L49" s="52"/>
      <c r="M49" s="52"/>
      <c r="N49" s="50"/>
      <c r="O49" s="52"/>
      <c r="P49" s="104"/>
      <c r="Q49" s="28"/>
      <c r="R49" s="104"/>
    </row>
    <row r="50" spans="2:21" x14ac:dyDescent="0.3">
      <c r="B50" s="36"/>
      <c r="E50" s="37"/>
      <c r="F50" s="37"/>
      <c r="G50" s="37"/>
      <c r="H50" s="37"/>
      <c r="I50" s="37"/>
      <c r="J50" s="52"/>
      <c r="K50" s="52"/>
      <c r="L50" s="52"/>
      <c r="M50" s="52"/>
      <c r="N50" s="50"/>
      <c r="O50" s="52"/>
      <c r="P50" s="104"/>
      <c r="Q50" s="28"/>
      <c r="R50" s="104"/>
    </row>
    <row r="51" spans="2:21" x14ac:dyDescent="0.3">
      <c r="B51" s="36"/>
      <c r="E51" s="37"/>
      <c r="F51" s="37"/>
      <c r="G51" s="37"/>
      <c r="H51" s="37"/>
      <c r="I51" s="37"/>
      <c r="J51" s="52"/>
      <c r="K51" s="52"/>
      <c r="L51" s="52"/>
      <c r="M51" s="52"/>
      <c r="N51" s="50"/>
      <c r="O51" s="52"/>
      <c r="P51" s="104"/>
      <c r="Q51" s="28"/>
      <c r="R51" s="104"/>
    </row>
    <row r="52" spans="2:21" x14ac:dyDescent="0.3">
      <c r="B52" s="36"/>
      <c r="E52" s="37"/>
      <c r="F52" s="37"/>
      <c r="G52" s="37"/>
      <c r="H52" s="37"/>
      <c r="I52" s="37"/>
      <c r="J52" s="52"/>
      <c r="K52" s="52"/>
      <c r="L52" s="52"/>
      <c r="M52" s="52"/>
      <c r="N52" s="50"/>
      <c r="O52" s="52"/>
      <c r="P52" s="104"/>
      <c r="Q52" s="28"/>
      <c r="R52" s="104"/>
    </row>
    <row r="53" spans="2:21" x14ac:dyDescent="0.3">
      <c r="B53" s="36"/>
      <c r="E53" s="37"/>
      <c r="F53" s="37"/>
      <c r="G53" s="37"/>
      <c r="H53" s="37"/>
      <c r="I53" s="37"/>
      <c r="J53" s="52"/>
      <c r="K53" s="52"/>
      <c r="L53" s="52"/>
      <c r="M53" s="52"/>
      <c r="N53" s="50"/>
      <c r="O53" s="52"/>
      <c r="P53" s="104"/>
      <c r="Q53" s="28"/>
      <c r="R53" s="104"/>
    </row>
    <row r="54" spans="2:21" ht="15" thickBot="1" x14ac:dyDescent="0.35">
      <c r="B54" s="36"/>
      <c r="E54" s="37"/>
      <c r="F54" s="37"/>
      <c r="G54" s="37"/>
      <c r="H54" s="37"/>
      <c r="I54" s="37"/>
      <c r="J54" s="52"/>
      <c r="K54" s="52"/>
      <c r="L54" s="52"/>
      <c r="M54" s="52"/>
      <c r="N54" s="50"/>
      <c r="O54" s="52"/>
      <c r="P54" s="104"/>
      <c r="Q54" s="28"/>
      <c r="R54" s="104"/>
    </row>
    <row r="55" spans="2:21" ht="28.8" x14ac:dyDescent="0.3">
      <c r="B55" s="222" t="s">
        <v>152</v>
      </c>
      <c r="C55" s="222"/>
      <c r="D55" s="222"/>
      <c r="E55" s="222"/>
      <c r="F55" s="222"/>
      <c r="G55" s="222"/>
      <c r="H55" s="222"/>
      <c r="I55" s="222"/>
      <c r="J55" s="222"/>
      <c r="K55" s="222"/>
      <c r="L55" s="222"/>
      <c r="M55" s="222"/>
      <c r="N55" s="222"/>
      <c r="O55" s="222"/>
      <c r="P55" s="222"/>
      <c r="Q55" s="222"/>
    </row>
    <row r="56" spans="2:21" ht="28.8" x14ac:dyDescent="0.3">
      <c r="B56" s="72" t="s">
        <v>1</v>
      </c>
      <c r="C56" s="224" t="s">
        <v>2</v>
      </c>
      <c r="D56" s="224"/>
      <c r="E56" s="98" t="s">
        <v>3</v>
      </c>
      <c r="F56" s="98" t="s">
        <v>4</v>
      </c>
      <c r="G56" s="98" t="s">
        <v>153</v>
      </c>
      <c r="H56" s="98" t="s">
        <v>53</v>
      </c>
      <c r="I56" s="3" t="s">
        <v>154</v>
      </c>
      <c r="J56" s="3" t="s">
        <v>54</v>
      </c>
      <c r="K56" s="3" t="s">
        <v>10</v>
      </c>
      <c r="L56" s="3" t="s">
        <v>11</v>
      </c>
      <c r="M56" s="3" t="s">
        <v>12</v>
      </c>
      <c r="N56" s="98" t="s">
        <v>13</v>
      </c>
      <c r="O56" s="98" t="s">
        <v>14</v>
      </c>
      <c r="P56" s="98" t="s">
        <v>155</v>
      </c>
      <c r="Q56" s="99" t="s">
        <v>156</v>
      </c>
      <c r="U56" s="98" t="s">
        <v>15</v>
      </c>
    </row>
    <row r="57" spans="2:21" x14ac:dyDescent="0.3">
      <c r="B57" s="225" t="s">
        <v>157</v>
      </c>
      <c r="C57" s="243" t="s">
        <v>130</v>
      </c>
      <c r="D57" s="42" t="s">
        <v>18</v>
      </c>
      <c r="E57" s="137">
        <f>CEILING((((7750+297+115)*1.12)- 85)-150,50)</f>
        <v>8950</v>
      </c>
      <c r="F57" s="137">
        <v>85</v>
      </c>
      <c r="G57" s="137">
        <v>215</v>
      </c>
      <c r="H57" s="137">
        <v>75</v>
      </c>
      <c r="I57" s="137">
        <v>150</v>
      </c>
      <c r="J57" s="137">
        <f t="shared" ref="J57:J64" si="4">SUM(E57:I57)</f>
        <v>9475</v>
      </c>
      <c r="K57" s="137">
        <v>200</v>
      </c>
      <c r="L57" s="208">
        <f t="shared" ref="L57:L64" si="5">SUM(J57:K57)</f>
        <v>9675</v>
      </c>
      <c r="M57" s="48" t="s">
        <v>113</v>
      </c>
      <c r="N57" s="180" t="s">
        <v>158</v>
      </c>
      <c r="O57" s="141" t="s">
        <v>41</v>
      </c>
      <c r="P57" s="161" t="s">
        <v>159</v>
      </c>
      <c r="Q57" s="42" t="s">
        <v>136</v>
      </c>
      <c r="U57" s="42" t="s">
        <v>160</v>
      </c>
    </row>
    <row r="58" spans="2:21" ht="14.4" customHeight="1" x14ac:dyDescent="0.3">
      <c r="B58" s="225"/>
      <c r="C58" s="243"/>
      <c r="D58" s="42" t="s">
        <v>24</v>
      </c>
      <c r="E58" s="137">
        <f>CEILING((((8600+297+115)*1.12)- 85)-150,50)</f>
        <v>9900</v>
      </c>
      <c r="F58" s="137">
        <v>85</v>
      </c>
      <c r="G58" s="137">
        <v>215</v>
      </c>
      <c r="H58" s="137">
        <v>75</v>
      </c>
      <c r="I58" s="137">
        <v>150</v>
      </c>
      <c r="J58" s="137">
        <f t="shared" si="4"/>
        <v>10425</v>
      </c>
      <c r="K58" s="137">
        <v>200</v>
      </c>
      <c r="L58" s="208">
        <f t="shared" si="5"/>
        <v>10625</v>
      </c>
      <c r="M58" s="48" t="s">
        <v>113</v>
      </c>
      <c r="N58" s="180" t="s">
        <v>158</v>
      </c>
      <c r="O58" s="141" t="s">
        <v>41</v>
      </c>
      <c r="P58" s="161" t="s">
        <v>159</v>
      </c>
      <c r="Q58" s="42" t="s">
        <v>136</v>
      </c>
      <c r="U58" s="42" t="s">
        <v>160</v>
      </c>
    </row>
    <row r="59" spans="2:21" ht="14.4" customHeight="1" x14ac:dyDescent="0.3">
      <c r="B59" s="225" t="s">
        <v>161</v>
      </c>
      <c r="C59" s="243" t="s">
        <v>130</v>
      </c>
      <c r="D59" s="42" t="s">
        <v>18</v>
      </c>
      <c r="E59" s="137">
        <f>CEILING((((7900+297+115)*1.12)- 85)-150,50)</f>
        <v>9100</v>
      </c>
      <c r="F59" s="137">
        <v>85</v>
      </c>
      <c r="G59" s="137">
        <v>215</v>
      </c>
      <c r="H59" s="137">
        <v>75</v>
      </c>
      <c r="I59" s="137">
        <v>150</v>
      </c>
      <c r="J59" s="137">
        <f t="shared" ref="J59:J62" si="6">SUM(E59:I59)</f>
        <v>9625</v>
      </c>
      <c r="K59" s="137">
        <v>200</v>
      </c>
      <c r="L59" s="208">
        <f t="shared" ref="L59:L62" si="7">SUM(J59:K59)</f>
        <v>9825</v>
      </c>
      <c r="M59" s="48" t="s">
        <v>113</v>
      </c>
      <c r="N59" s="180" t="s">
        <v>158</v>
      </c>
      <c r="O59" s="141" t="s">
        <v>41</v>
      </c>
      <c r="P59" s="161" t="s">
        <v>159</v>
      </c>
      <c r="Q59" s="79" t="s">
        <v>136</v>
      </c>
      <c r="U59" s="42"/>
    </row>
    <row r="60" spans="2:21" ht="14.4" customHeight="1" x14ac:dyDescent="0.3">
      <c r="B60" s="225"/>
      <c r="C60" s="243"/>
      <c r="D60" s="42" t="s">
        <v>24</v>
      </c>
      <c r="E60" s="137">
        <f>CEILING((((8820+297+115)*1.12)- 85)-150,50)</f>
        <v>10150</v>
      </c>
      <c r="F60" s="137">
        <v>85</v>
      </c>
      <c r="G60" s="137">
        <v>215</v>
      </c>
      <c r="H60" s="137">
        <v>75</v>
      </c>
      <c r="I60" s="137">
        <v>150</v>
      </c>
      <c r="J60" s="137">
        <f t="shared" si="6"/>
        <v>10675</v>
      </c>
      <c r="K60" s="137">
        <v>200</v>
      </c>
      <c r="L60" s="208">
        <f t="shared" si="7"/>
        <v>10875</v>
      </c>
      <c r="M60" s="48" t="s">
        <v>113</v>
      </c>
      <c r="N60" s="180" t="s">
        <v>158</v>
      </c>
      <c r="O60" s="141" t="s">
        <v>41</v>
      </c>
      <c r="P60" s="161" t="s">
        <v>159</v>
      </c>
      <c r="Q60" s="79" t="s">
        <v>136</v>
      </c>
      <c r="U60" s="42"/>
    </row>
    <row r="61" spans="2:21" x14ac:dyDescent="0.3">
      <c r="B61" s="225" t="s">
        <v>162</v>
      </c>
      <c r="C61" s="243" t="s">
        <v>130</v>
      </c>
      <c r="D61" s="42" t="s">
        <v>18</v>
      </c>
      <c r="E61" s="137">
        <f>CEILING((((7600+40+115)*1.12)- 150)-150,50)</f>
        <v>8400</v>
      </c>
      <c r="F61" s="137">
        <v>150</v>
      </c>
      <c r="G61" s="137">
        <v>150</v>
      </c>
      <c r="H61" s="137">
        <v>75</v>
      </c>
      <c r="I61" s="137">
        <v>150</v>
      </c>
      <c r="J61" s="137">
        <f>SUM(E61:I61)</f>
        <v>8925</v>
      </c>
      <c r="K61" s="137">
        <v>200</v>
      </c>
      <c r="L61" s="208">
        <f t="shared" si="7"/>
        <v>9125</v>
      </c>
      <c r="M61" s="48" t="s">
        <v>113</v>
      </c>
      <c r="N61" s="180" t="s">
        <v>158</v>
      </c>
      <c r="O61" s="18" t="s">
        <v>66</v>
      </c>
      <c r="P61" s="161" t="s">
        <v>159</v>
      </c>
      <c r="Q61" s="79" t="s">
        <v>163</v>
      </c>
      <c r="U61" s="42"/>
    </row>
    <row r="62" spans="2:21" x14ac:dyDescent="0.3">
      <c r="B62" s="225"/>
      <c r="C62" s="243"/>
      <c r="D62" s="42" t="s">
        <v>24</v>
      </c>
      <c r="E62" s="137">
        <f>CEILING((((7700+80+115)*1.12)- 150)-150,50)</f>
        <v>8550</v>
      </c>
      <c r="F62" s="137">
        <v>150</v>
      </c>
      <c r="G62" s="137">
        <v>150</v>
      </c>
      <c r="H62" s="137">
        <v>75</v>
      </c>
      <c r="I62" s="137">
        <v>150</v>
      </c>
      <c r="J62" s="137">
        <f t="shared" si="6"/>
        <v>9075</v>
      </c>
      <c r="K62" s="137">
        <v>200</v>
      </c>
      <c r="L62" s="208">
        <f t="shared" si="7"/>
        <v>9275</v>
      </c>
      <c r="M62" s="48" t="s">
        <v>113</v>
      </c>
      <c r="N62" s="180" t="s">
        <v>158</v>
      </c>
      <c r="O62" s="18" t="s">
        <v>66</v>
      </c>
      <c r="P62" s="161" t="s">
        <v>159</v>
      </c>
      <c r="Q62" s="79" t="s">
        <v>163</v>
      </c>
      <c r="U62" s="42"/>
    </row>
    <row r="63" spans="2:21" x14ac:dyDescent="0.3">
      <c r="B63" s="321" t="s">
        <v>164</v>
      </c>
      <c r="C63" s="323" t="s">
        <v>130</v>
      </c>
      <c r="D63" s="42" t="s">
        <v>18</v>
      </c>
      <c r="E63" s="137">
        <f>CEILING((((7650+40+115)*1.12)- 85)-150,50)</f>
        <v>8550</v>
      </c>
      <c r="F63" s="137">
        <v>150</v>
      </c>
      <c r="G63" s="137">
        <v>150</v>
      </c>
      <c r="H63" s="137">
        <v>75</v>
      </c>
      <c r="I63" s="137">
        <v>150</v>
      </c>
      <c r="J63" s="137">
        <f t="shared" si="4"/>
        <v>9075</v>
      </c>
      <c r="K63" s="137">
        <v>200</v>
      </c>
      <c r="L63" s="208">
        <f t="shared" si="5"/>
        <v>9275</v>
      </c>
      <c r="M63" s="132" t="s">
        <v>113</v>
      </c>
      <c r="N63" s="180" t="s">
        <v>158</v>
      </c>
      <c r="O63" s="18" t="s">
        <v>66</v>
      </c>
      <c r="P63" s="161" t="s">
        <v>159</v>
      </c>
      <c r="Q63" s="79" t="s">
        <v>163</v>
      </c>
      <c r="U63" s="42" t="s">
        <v>165</v>
      </c>
    </row>
    <row r="64" spans="2:21" x14ac:dyDescent="0.3">
      <c r="B64" s="322"/>
      <c r="C64" s="296"/>
      <c r="D64" s="42" t="s">
        <v>24</v>
      </c>
      <c r="E64" s="137">
        <f>CEILING((((7800+80+115)*1.12)- 85)-150,50)</f>
        <v>8750</v>
      </c>
      <c r="F64" s="137">
        <v>150</v>
      </c>
      <c r="G64" s="137">
        <v>150</v>
      </c>
      <c r="H64" s="137">
        <v>75</v>
      </c>
      <c r="I64" s="137">
        <v>150</v>
      </c>
      <c r="J64" s="137">
        <f t="shared" si="4"/>
        <v>9275</v>
      </c>
      <c r="K64" s="137">
        <v>200</v>
      </c>
      <c r="L64" s="208">
        <f t="shared" si="5"/>
        <v>9475</v>
      </c>
      <c r="M64" s="132" t="s">
        <v>113</v>
      </c>
      <c r="N64" s="180" t="s">
        <v>158</v>
      </c>
      <c r="O64" s="18" t="s">
        <v>66</v>
      </c>
      <c r="P64" s="161" t="s">
        <v>159</v>
      </c>
      <c r="Q64" s="79" t="s">
        <v>163</v>
      </c>
      <c r="U64" s="42" t="s">
        <v>165</v>
      </c>
    </row>
    <row r="65" spans="2:63 3073:12199 12790:15083" ht="28.8" x14ac:dyDescent="0.3">
      <c r="B65" s="263" t="s">
        <v>166</v>
      </c>
      <c r="C65" s="263"/>
      <c r="D65" s="292"/>
      <c r="E65" s="292"/>
      <c r="F65" s="263"/>
      <c r="G65" s="292"/>
      <c r="H65" s="292"/>
      <c r="I65" s="263"/>
      <c r="J65" s="292"/>
      <c r="K65" s="292"/>
      <c r="L65" s="292"/>
      <c r="M65" s="263"/>
      <c r="N65" s="292"/>
      <c r="O65" s="292"/>
      <c r="P65" s="292"/>
      <c r="Q65" s="292"/>
      <c r="U65" s="42"/>
    </row>
    <row r="66" spans="2:63 3073:12199 12790:15083" ht="28.8" x14ac:dyDescent="0.3">
      <c r="B66" s="72" t="s">
        <v>1</v>
      </c>
      <c r="C66" s="224" t="s">
        <v>2</v>
      </c>
      <c r="D66" s="224"/>
      <c r="E66" s="8" t="s">
        <v>3</v>
      </c>
      <c r="F66" s="8" t="s">
        <v>4</v>
      </c>
      <c r="G66" s="8" t="s">
        <v>153</v>
      </c>
      <c r="H66" s="1" t="s">
        <v>53</v>
      </c>
      <c r="I66" s="67" t="s">
        <v>154</v>
      </c>
      <c r="J66" s="2" t="s">
        <v>9</v>
      </c>
      <c r="K66" s="2" t="s">
        <v>10</v>
      </c>
      <c r="L66" s="2" t="s">
        <v>11</v>
      </c>
      <c r="M66" s="8" t="s">
        <v>12</v>
      </c>
      <c r="N66" s="102" t="s">
        <v>13</v>
      </c>
      <c r="O66" s="102" t="s">
        <v>14</v>
      </c>
      <c r="P66" s="162" t="s">
        <v>155</v>
      </c>
      <c r="Q66" s="78" t="s">
        <v>156</v>
      </c>
      <c r="U66" s="42"/>
    </row>
    <row r="67" spans="2:63 3073:12199 12790:15083" x14ac:dyDescent="0.3">
      <c r="B67" s="249" t="s">
        <v>167</v>
      </c>
      <c r="C67" s="18" t="s">
        <v>130</v>
      </c>
      <c r="D67" s="129" t="s">
        <v>18</v>
      </c>
      <c r="E67" s="137">
        <f>CEILING((((7950+297+115)*1.12)- 85)-150,50)</f>
        <v>9150</v>
      </c>
      <c r="F67" s="137">
        <v>85</v>
      </c>
      <c r="G67" s="137">
        <v>215</v>
      </c>
      <c r="H67" s="137">
        <v>75</v>
      </c>
      <c r="I67" s="137">
        <v>150</v>
      </c>
      <c r="J67" s="137">
        <f t="shared" ref="J67:J68" si="8">SUM(E67:I67)</f>
        <v>9675</v>
      </c>
      <c r="K67" s="137">
        <v>200</v>
      </c>
      <c r="L67" s="208">
        <f t="shared" ref="L67:L68" si="9">SUM(J67:K67)</f>
        <v>9875</v>
      </c>
      <c r="M67" s="132" t="s">
        <v>113</v>
      </c>
      <c r="N67" s="180" t="s">
        <v>158</v>
      </c>
      <c r="O67" s="141" t="s">
        <v>41</v>
      </c>
      <c r="P67" s="161" t="s">
        <v>159</v>
      </c>
      <c r="Q67" s="79" t="s">
        <v>136</v>
      </c>
      <c r="R67" s="160"/>
      <c r="S67" s="153"/>
      <c r="T67" s="154"/>
      <c r="U67" s="155">
        <v>215</v>
      </c>
      <c r="V67" s="155"/>
      <c r="W67" s="154"/>
      <c r="X67" s="156"/>
      <c r="Y67" s="154"/>
      <c r="Z67" s="156"/>
      <c r="AA67" s="157"/>
      <c r="AB67" s="158"/>
      <c r="AC67" s="152"/>
      <c r="AD67" s="159"/>
      <c r="AE67" s="163"/>
      <c r="AF67" s="140"/>
      <c r="AG67" s="149"/>
      <c r="AH67"/>
      <c r="AI67" s="142"/>
      <c r="AJ67" s="143"/>
      <c r="AK67" s="144"/>
      <c r="AL67" s="144"/>
      <c r="AM67" s="143"/>
      <c r="AN67" s="145"/>
      <c r="AO67" s="143"/>
      <c r="AP67" s="145"/>
      <c r="AQ67" s="146"/>
      <c r="AR67" s="147"/>
      <c r="AS67"/>
      <c r="AT67" s="148"/>
      <c r="AU67"/>
      <c r="AV67" s="140"/>
      <c r="AW67" s="149"/>
      <c r="AX67"/>
      <c r="AY67" s="142"/>
      <c r="AZ67" s="143"/>
      <c r="BA67" s="144"/>
      <c r="BB67" s="144"/>
      <c r="BC67" s="143"/>
      <c r="BD67" s="145"/>
      <c r="BE67" s="143"/>
      <c r="BF67" s="145"/>
      <c r="BG67" s="146"/>
      <c r="BH67" s="147"/>
      <c r="BI67"/>
      <c r="BJ67" s="148"/>
      <c r="BK67"/>
      <c r="DNE67" s="133">
        <v>45845</v>
      </c>
      <c r="DNF67" s="128" t="s">
        <v>41</v>
      </c>
      <c r="DNG67" s="207"/>
      <c r="DNH67" s="134" t="s">
        <v>136</v>
      </c>
      <c r="DNI67" s="205"/>
      <c r="DNJ67" s="206"/>
      <c r="DNK67" s="128" t="s">
        <v>24</v>
      </c>
      <c r="DNL67" s="129">
        <v>8150</v>
      </c>
      <c r="DNM67" s="137">
        <v>85</v>
      </c>
      <c r="DNN67" s="138">
        <v>215</v>
      </c>
      <c r="DNO67" s="138">
        <v>75</v>
      </c>
      <c r="DNP67" s="137">
        <v>150</v>
      </c>
      <c r="DNQ67" s="139">
        <f>SUM(DNL67:DNP67)</f>
        <v>8675</v>
      </c>
      <c r="DNR67" s="137">
        <v>200</v>
      </c>
      <c r="DNS67" s="139">
        <f>SUM(DNQ67:DNR67)</f>
        <v>8875</v>
      </c>
      <c r="DNT67" s="132" t="s">
        <v>113</v>
      </c>
      <c r="DNU67" s="133">
        <v>45845</v>
      </c>
      <c r="DNV67" s="128" t="s">
        <v>41</v>
      </c>
      <c r="DNW67" s="207"/>
      <c r="DNX67" s="134" t="s">
        <v>136</v>
      </c>
      <c r="DNY67" s="205"/>
      <c r="DNZ67" s="206"/>
      <c r="DOA67" s="128" t="s">
        <v>24</v>
      </c>
      <c r="DOB67" s="129">
        <v>8150</v>
      </c>
      <c r="DOC67" s="137">
        <v>85</v>
      </c>
      <c r="DOD67" s="138">
        <v>215</v>
      </c>
      <c r="DOE67" s="138">
        <v>75</v>
      </c>
      <c r="DOF67" s="137">
        <v>150</v>
      </c>
      <c r="DOG67" s="139">
        <f>SUM(DOB67:DOF67)</f>
        <v>8675</v>
      </c>
      <c r="DOH67" s="137">
        <v>200</v>
      </c>
      <c r="DOI67" s="139">
        <f>SUM(DOG67:DOH67)</f>
        <v>8875</v>
      </c>
      <c r="DOJ67" s="132" t="s">
        <v>113</v>
      </c>
      <c r="DOK67" s="133">
        <v>45845</v>
      </c>
      <c r="DOL67" s="128" t="s">
        <v>41</v>
      </c>
      <c r="DOM67" s="207"/>
      <c r="DON67" s="134" t="s">
        <v>136</v>
      </c>
      <c r="DOO67" s="205"/>
      <c r="DOP67" s="206"/>
      <c r="DOQ67" s="128" t="s">
        <v>24</v>
      </c>
      <c r="DOR67" s="129">
        <v>8150</v>
      </c>
      <c r="DOS67" s="137">
        <v>85</v>
      </c>
      <c r="DOT67" s="138">
        <v>215</v>
      </c>
      <c r="DOU67" s="138">
        <v>75</v>
      </c>
      <c r="DOV67" s="137">
        <v>150</v>
      </c>
      <c r="DOW67" s="139">
        <f>SUM(DOR67:DOV67)</f>
        <v>8675</v>
      </c>
      <c r="DOX67" s="137">
        <v>200</v>
      </c>
      <c r="DOY67" s="139">
        <f>SUM(DOW67:DOX67)</f>
        <v>8875</v>
      </c>
      <c r="DOZ67" s="132" t="s">
        <v>113</v>
      </c>
      <c r="DPA67" s="133">
        <v>45845</v>
      </c>
      <c r="DPB67" s="128" t="s">
        <v>41</v>
      </c>
      <c r="DPC67" s="207"/>
      <c r="DPD67" s="134" t="s">
        <v>136</v>
      </c>
      <c r="DPE67" s="205"/>
      <c r="DPF67" s="206"/>
      <c r="DPG67" s="128" t="s">
        <v>24</v>
      </c>
      <c r="DPH67" s="129">
        <v>8150</v>
      </c>
      <c r="DPI67" s="137">
        <v>85</v>
      </c>
      <c r="DPJ67" s="138">
        <v>215</v>
      </c>
      <c r="DPK67" s="138">
        <v>75</v>
      </c>
      <c r="DPL67" s="137">
        <v>150</v>
      </c>
      <c r="DPM67" s="139">
        <f>SUM(DPH67:DPL67)</f>
        <v>8675</v>
      </c>
      <c r="DPN67" s="137">
        <v>200</v>
      </c>
      <c r="DPO67" s="139">
        <f>SUM(DPM67:DPN67)</f>
        <v>8875</v>
      </c>
      <c r="DPP67" s="132" t="s">
        <v>113</v>
      </c>
      <c r="DPQ67" s="133">
        <v>45845</v>
      </c>
      <c r="DPR67" s="128" t="s">
        <v>41</v>
      </c>
      <c r="DPS67" s="207"/>
      <c r="DPT67" s="134" t="s">
        <v>136</v>
      </c>
      <c r="DPU67" s="205"/>
      <c r="DPV67" s="206"/>
      <c r="DPW67" s="128" t="s">
        <v>24</v>
      </c>
      <c r="DPX67" s="129">
        <v>8150</v>
      </c>
      <c r="DPY67" s="137">
        <v>85</v>
      </c>
      <c r="DPZ67" s="138">
        <v>215</v>
      </c>
      <c r="DQA67" s="138">
        <v>75</v>
      </c>
      <c r="DQB67" s="137">
        <v>150</v>
      </c>
      <c r="DQC67" s="139">
        <f>SUM(DPX67:DQB67)</f>
        <v>8675</v>
      </c>
      <c r="DQD67" s="137">
        <v>200</v>
      </c>
      <c r="DQE67" s="139">
        <f>SUM(DQC67:DQD67)</f>
        <v>8875</v>
      </c>
      <c r="DQF67" s="132" t="s">
        <v>113</v>
      </c>
      <c r="DQG67" s="133">
        <v>45845</v>
      </c>
      <c r="DQH67" s="128" t="s">
        <v>41</v>
      </c>
      <c r="DQI67" s="207"/>
      <c r="DQJ67" s="134" t="s">
        <v>136</v>
      </c>
      <c r="DQK67" s="205"/>
      <c r="DQL67" s="206"/>
      <c r="DQM67" s="128" t="s">
        <v>24</v>
      </c>
      <c r="DQN67" s="129">
        <v>8150</v>
      </c>
      <c r="DQO67" s="137">
        <v>85</v>
      </c>
      <c r="DQP67" s="138">
        <v>215</v>
      </c>
      <c r="DQQ67" s="138">
        <v>75</v>
      </c>
      <c r="DQR67" s="137">
        <v>150</v>
      </c>
      <c r="DQS67" s="139">
        <f>SUM(DQN67:DQR67)</f>
        <v>8675</v>
      </c>
      <c r="DQT67" s="137">
        <v>200</v>
      </c>
      <c r="DQU67" s="139">
        <f>SUM(DQS67:DQT67)</f>
        <v>8875</v>
      </c>
      <c r="DQV67" s="132" t="s">
        <v>113</v>
      </c>
      <c r="DQW67" s="133">
        <v>45845</v>
      </c>
      <c r="DQX67" s="128" t="s">
        <v>41</v>
      </c>
      <c r="DQY67" s="207"/>
      <c r="DQZ67" s="134" t="s">
        <v>136</v>
      </c>
      <c r="DRA67" s="205"/>
      <c r="DRB67" s="206"/>
      <c r="DRC67" s="128" t="s">
        <v>24</v>
      </c>
      <c r="DRD67" s="129">
        <v>8150</v>
      </c>
      <c r="DRE67" s="137">
        <v>85</v>
      </c>
      <c r="DRF67" s="138">
        <v>215</v>
      </c>
      <c r="DRG67" s="138">
        <v>75</v>
      </c>
      <c r="DRH67" s="137">
        <v>150</v>
      </c>
      <c r="DRI67" s="139">
        <f>SUM(DRD67:DRH67)</f>
        <v>8675</v>
      </c>
      <c r="DRJ67" s="137">
        <v>200</v>
      </c>
      <c r="DRK67" s="139">
        <f>SUM(DRI67:DRJ67)</f>
        <v>8875</v>
      </c>
      <c r="DRL67" s="132" t="s">
        <v>113</v>
      </c>
      <c r="DRM67" s="133">
        <v>45845</v>
      </c>
      <c r="DRN67" s="128" t="s">
        <v>41</v>
      </c>
      <c r="DRO67" s="207"/>
      <c r="DRP67" s="134" t="s">
        <v>136</v>
      </c>
      <c r="DRQ67" s="205"/>
      <c r="DRR67" s="206"/>
      <c r="DRS67" s="128" t="s">
        <v>24</v>
      </c>
      <c r="DRT67" s="129">
        <v>8150</v>
      </c>
      <c r="DRU67" s="137">
        <v>85</v>
      </c>
      <c r="DRV67" s="138">
        <v>215</v>
      </c>
      <c r="DRW67" s="138">
        <v>75</v>
      </c>
      <c r="DRX67" s="137">
        <v>150</v>
      </c>
      <c r="DRY67" s="139">
        <f>SUM(DRT67:DRX67)</f>
        <v>8675</v>
      </c>
      <c r="DRZ67" s="137">
        <v>200</v>
      </c>
      <c r="DSA67" s="139">
        <f>SUM(DRY67:DRZ67)</f>
        <v>8875</v>
      </c>
      <c r="DSB67" s="132" t="s">
        <v>113</v>
      </c>
      <c r="DSC67" s="133">
        <v>45845</v>
      </c>
      <c r="DSD67" s="128" t="s">
        <v>41</v>
      </c>
      <c r="DSE67" s="207"/>
      <c r="DSF67" s="134" t="s">
        <v>136</v>
      </c>
      <c r="DSG67" s="205"/>
      <c r="DSH67" s="206"/>
      <c r="DSI67" s="128" t="s">
        <v>24</v>
      </c>
      <c r="DSJ67" s="129">
        <v>8150</v>
      </c>
      <c r="DSK67" s="137">
        <v>85</v>
      </c>
      <c r="DSL67" s="138">
        <v>215</v>
      </c>
      <c r="DSM67" s="138">
        <v>75</v>
      </c>
      <c r="DSN67" s="137">
        <v>150</v>
      </c>
      <c r="DSO67" s="139">
        <f>SUM(DSJ67:DSN67)</f>
        <v>8675</v>
      </c>
      <c r="DSP67" s="137">
        <v>200</v>
      </c>
      <c r="DSQ67" s="139">
        <f>SUM(DSO67:DSP67)</f>
        <v>8875</v>
      </c>
      <c r="DSR67" s="132" t="s">
        <v>113</v>
      </c>
      <c r="DSS67" s="133">
        <v>45845</v>
      </c>
      <c r="DST67" s="128" t="s">
        <v>41</v>
      </c>
      <c r="DSU67" s="207"/>
      <c r="DSV67" s="134" t="s">
        <v>136</v>
      </c>
      <c r="DSW67" s="205"/>
      <c r="DSX67" s="206"/>
      <c r="DSY67" s="128" t="s">
        <v>24</v>
      </c>
      <c r="DSZ67" s="129">
        <v>8150</v>
      </c>
      <c r="DTA67" s="137">
        <v>85</v>
      </c>
      <c r="DTB67" s="138">
        <v>215</v>
      </c>
      <c r="DTC67" s="138">
        <v>75</v>
      </c>
      <c r="DTD67" s="137">
        <v>150</v>
      </c>
      <c r="DTE67" s="139">
        <f>SUM(DSZ67:DTD67)</f>
        <v>8675</v>
      </c>
      <c r="DTF67" s="137">
        <v>200</v>
      </c>
      <c r="DTG67" s="139">
        <f>SUM(DTE67:DTF67)</f>
        <v>8875</v>
      </c>
      <c r="DTH67" s="132" t="s">
        <v>113</v>
      </c>
      <c r="DTI67" s="133">
        <v>45845</v>
      </c>
      <c r="DTJ67" s="128" t="s">
        <v>41</v>
      </c>
      <c r="DTK67" s="207"/>
      <c r="DTL67" s="134" t="s">
        <v>136</v>
      </c>
      <c r="DTM67" s="205"/>
      <c r="DTN67" s="206"/>
      <c r="DTO67" s="128" t="s">
        <v>24</v>
      </c>
      <c r="DTP67" s="129">
        <v>8150</v>
      </c>
      <c r="DTQ67" s="137">
        <v>85</v>
      </c>
      <c r="DTR67" s="138">
        <v>215</v>
      </c>
      <c r="DTS67" s="138">
        <v>75</v>
      </c>
      <c r="DTT67" s="137">
        <v>150</v>
      </c>
      <c r="DTU67" s="139">
        <f>SUM(DTP67:DTT67)</f>
        <v>8675</v>
      </c>
      <c r="DTV67" s="137">
        <v>200</v>
      </c>
      <c r="DTW67" s="139">
        <f>SUM(DTU67:DTV67)</f>
        <v>8875</v>
      </c>
      <c r="DTX67" s="132" t="s">
        <v>113</v>
      </c>
      <c r="DTY67" s="133">
        <v>45845</v>
      </c>
      <c r="DTZ67" s="128" t="s">
        <v>41</v>
      </c>
      <c r="DUA67" s="207"/>
      <c r="DUB67" s="134" t="s">
        <v>136</v>
      </c>
      <c r="DUC67" s="205"/>
      <c r="DUD67" s="206"/>
      <c r="DUE67" s="128" t="s">
        <v>24</v>
      </c>
      <c r="DUF67" s="129">
        <v>8150</v>
      </c>
      <c r="DUG67" s="137">
        <v>85</v>
      </c>
      <c r="DUH67" s="138">
        <v>215</v>
      </c>
      <c r="DUI67" s="138">
        <v>75</v>
      </c>
      <c r="DUJ67" s="137">
        <v>150</v>
      </c>
      <c r="DUK67" s="139">
        <f>SUM(DUF67:DUJ67)</f>
        <v>8675</v>
      </c>
      <c r="DUL67" s="137">
        <v>200</v>
      </c>
      <c r="DUM67" s="139">
        <f>SUM(DUK67:DUL67)</f>
        <v>8875</v>
      </c>
      <c r="DUN67" s="132" t="s">
        <v>113</v>
      </c>
      <c r="DUO67" s="133">
        <v>45845</v>
      </c>
      <c r="DUP67" s="128" t="s">
        <v>41</v>
      </c>
      <c r="DUQ67" s="207"/>
      <c r="DUR67" s="134" t="s">
        <v>136</v>
      </c>
      <c r="DUS67" s="205"/>
      <c r="DUT67" s="206"/>
      <c r="DUU67" s="128" t="s">
        <v>24</v>
      </c>
      <c r="DUV67" s="129">
        <v>8150</v>
      </c>
      <c r="DUW67" s="137">
        <v>85</v>
      </c>
      <c r="DUX67" s="138">
        <v>215</v>
      </c>
      <c r="DUY67" s="138">
        <v>75</v>
      </c>
      <c r="DUZ67" s="137">
        <v>150</v>
      </c>
      <c r="DVA67" s="139">
        <f>SUM(DUV67:DUZ67)</f>
        <v>8675</v>
      </c>
      <c r="DVB67" s="137">
        <v>200</v>
      </c>
      <c r="DVC67" s="139">
        <f>SUM(DVA67:DVB67)</f>
        <v>8875</v>
      </c>
      <c r="DVD67" s="132" t="s">
        <v>113</v>
      </c>
      <c r="DVE67" s="133">
        <v>45845</v>
      </c>
      <c r="DVF67" s="128" t="s">
        <v>41</v>
      </c>
      <c r="DVG67" s="207"/>
      <c r="DVH67" s="134" t="s">
        <v>136</v>
      </c>
      <c r="DVI67" s="205"/>
      <c r="DVJ67" s="206"/>
      <c r="DVK67" s="128" t="s">
        <v>24</v>
      </c>
      <c r="DVL67" s="129">
        <v>8150</v>
      </c>
      <c r="DVM67" s="137">
        <v>85</v>
      </c>
      <c r="DVN67" s="138">
        <v>215</v>
      </c>
      <c r="DVO67" s="138">
        <v>75</v>
      </c>
      <c r="DVP67" s="137">
        <v>150</v>
      </c>
      <c r="DVQ67" s="139">
        <f>SUM(DVL67:DVP67)</f>
        <v>8675</v>
      </c>
      <c r="DVR67" s="137">
        <v>200</v>
      </c>
      <c r="DVS67" s="139">
        <f>SUM(DVQ67:DVR67)</f>
        <v>8875</v>
      </c>
      <c r="DVT67" s="132" t="s">
        <v>113</v>
      </c>
      <c r="DVU67" s="133">
        <v>45845</v>
      </c>
      <c r="DVV67" s="128" t="s">
        <v>41</v>
      </c>
      <c r="DVW67" s="207"/>
      <c r="DVX67" s="134" t="s">
        <v>136</v>
      </c>
      <c r="DVY67" s="205"/>
      <c r="DVZ67" s="206"/>
      <c r="DWA67" s="128" t="s">
        <v>24</v>
      </c>
      <c r="DWB67" s="129">
        <v>8150</v>
      </c>
      <c r="DWC67" s="137">
        <v>85</v>
      </c>
      <c r="DWD67" s="138">
        <v>215</v>
      </c>
      <c r="DWE67" s="138">
        <v>75</v>
      </c>
      <c r="DWF67" s="137">
        <v>150</v>
      </c>
      <c r="DWG67" s="139">
        <f>SUM(DWB67:DWF67)</f>
        <v>8675</v>
      </c>
      <c r="DWH67" s="137">
        <v>200</v>
      </c>
      <c r="DWI67" s="139">
        <f>SUM(DWG67:DWH67)</f>
        <v>8875</v>
      </c>
      <c r="DWJ67" s="132" t="s">
        <v>113</v>
      </c>
      <c r="DWK67" s="133">
        <v>45845</v>
      </c>
      <c r="DWL67" s="128" t="s">
        <v>41</v>
      </c>
      <c r="DWM67" s="207"/>
      <c r="DWN67" s="134" t="s">
        <v>136</v>
      </c>
      <c r="DWO67" s="205"/>
      <c r="DWP67" s="206"/>
      <c r="DWQ67" s="128" t="s">
        <v>24</v>
      </c>
      <c r="DWR67" s="129">
        <v>8150</v>
      </c>
      <c r="DWS67" s="137">
        <v>85</v>
      </c>
      <c r="DWT67" s="138">
        <v>215</v>
      </c>
      <c r="DWU67" s="138">
        <v>75</v>
      </c>
      <c r="DWV67" s="137">
        <v>150</v>
      </c>
      <c r="DWW67" s="139">
        <f>SUM(DWR67:DWV67)</f>
        <v>8675</v>
      </c>
      <c r="DWX67" s="137">
        <v>200</v>
      </c>
      <c r="DWY67" s="139">
        <f>SUM(DWW67:DWX67)</f>
        <v>8875</v>
      </c>
      <c r="DWZ67" s="132" t="s">
        <v>113</v>
      </c>
      <c r="DXA67" s="133">
        <v>45845</v>
      </c>
      <c r="DXB67" s="128" t="s">
        <v>41</v>
      </c>
      <c r="DXC67" s="207"/>
      <c r="DXD67" s="134" t="s">
        <v>136</v>
      </c>
      <c r="DXE67" s="205"/>
      <c r="DXF67" s="206"/>
      <c r="DXG67" s="128" t="s">
        <v>24</v>
      </c>
      <c r="DXH67" s="129">
        <v>8150</v>
      </c>
      <c r="DXI67" s="137">
        <v>85</v>
      </c>
      <c r="DXJ67" s="138">
        <v>215</v>
      </c>
      <c r="DXK67" s="138">
        <v>75</v>
      </c>
      <c r="DXL67" s="137">
        <v>150</v>
      </c>
      <c r="DXM67" s="139">
        <f>SUM(DXH67:DXL67)</f>
        <v>8675</v>
      </c>
      <c r="DXN67" s="137">
        <v>200</v>
      </c>
      <c r="DXO67" s="139">
        <f>SUM(DXM67:DXN67)</f>
        <v>8875</v>
      </c>
      <c r="DXP67" s="132" t="s">
        <v>113</v>
      </c>
      <c r="DXQ67" s="133">
        <v>45845</v>
      </c>
      <c r="DXR67" s="128" t="s">
        <v>41</v>
      </c>
      <c r="DXS67" s="207"/>
      <c r="DXT67" s="134" t="s">
        <v>136</v>
      </c>
      <c r="DXU67" s="205"/>
      <c r="DXV67" s="206"/>
      <c r="DXW67" s="128" t="s">
        <v>24</v>
      </c>
      <c r="DXX67" s="129">
        <v>8150</v>
      </c>
      <c r="DXY67" s="137">
        <v>85</v>
      </c>
      <c r="DXZ67" s="138">
        <v>215</v>
      </c>
      <c r="DYA67" s="138">
        <v>75</v>
      </c>
      <c r="DYB67" s="137">
        <v>150</v>
      </c>
      <c r="DYC67" s="139">
        <f>SUM(DXX67:DYB67)</f>
        <v>8675</v>
      </c>
      <c r="DYD67" s="137">
        <v>200</v>
      </c>
      <c r="DYE67" s="139">
        <f>SUM(DYC67:DYD67)</f>
        <v>8875</v>
      </c>
      <c r="DYF67" s="132" t="s">
        <v>113</v>
      </c>
      <c r="DYG67" s="133">
        <v>45845</v>
      </c>
      <c r="DYH67" s="128" t="s">
        <v>41</v>
      </c>
      <c r="DYI67" s="207"/>
      <c r="DYJ67" s="134" t="s">
        <v>136</v>
      </c>
      <c r="DYK67" s="205"/>
      <c r="DYL67" s="206"/>
      <c r="DYM67" s="128" t="s">
        <v>24</v>
      </c>
      <c r="DYN67" s="129">
        <v>8150</v>
      </c>
      <c r="DYO67" s="137">
        <v>85</v>
      </c>
      <c r="DYP67" s="138">
        <v>215</v>
      </c>
      <c r="DYQ67" s="138">
        <v>75</v>
      </c>
      <c r="DYR67" s="137">
        <v>150</v>
      </c>
      <c r="DYS67" s="139">
        <f>SUM(DYN67:DYR67)</f>
        <v>8675</v>
      </c>
      <c r="DYT67" s="137">
        <v>200</v>
      </c>
      <c r="DYU67" s="139">
        <f>SUM(DYS67:DYT67)</f>
        <v>8875</v>
      </c>
      <c r="DYV67" s="132" t="s">
        <v>113</v>
      </c>
      <c r="DYW67" s="133">
        <v>45845</v>
      </c>
      <c r="DYX67" s="128" t="s">
        <v>41</v>
      </c>
      <c r="DYY67" s="207"/>
      <c r="DYZ67" s="134" t="s">
        <v>136</v>
      </c>
      <c r="DZA67" s="205"/>
      <c r="DZB67" s="206"/>
      <c r="DZC67" s="128" t="s">
        <v>24</v>
      </c>
      <c r="DZD67" s="129">
        <v>8150</v>
      </c>
      <c r="DZE67" s="137">
        <v>85</v>
      </c>
      <c r="DZF67" s="138">
        <v>215</v>
      </c>
      <c r="DZG67" s="138">
        <v>75</v>
      </c>
      <c r="DZH67" s="137">
        <v>150</v>
      </c>
      <c r="DZI67" s="139">
        <f>SUM(DZD67:DZH67)</f>
        <v>8675</v>
      </c>
      <c r="DZJ67" s="137">
        <v>200</v>
      </c>
      <c r="DZK67" s="139">
        <f>SUM(DZI67:DZJ67)</f>
        <v>8875</v>
      </c>
      <c r="DZL67" s="132" t="s">
        <v>113</v>
      </c>
      <c r="DZM67" s="133">
        <v>45845</v>
      </c>
      <c r="DZN67" s="128" t="s">
        <v>41</v>
      </c>
      <c r="DZO67" s="207"/>
      <c r="DZP67" s="134" t="s">
        <v>136</v>
      </c>
      <c r="DZQ67" s="205"/>
      <c r="DZR67" s="206"/>
      <c r="DZS67" s="128" t="s">
        <v>24</v>
      </c>
      <c r="DZT67" s="129">
        <v>8150</v>
      </c>
      <c r="DZU67" s="137">
        <v>85</v>
      </c>
      <c r="DZV67" s="138">
        <v>215</v>
      </c>
      <c r="DZW67" s="138">
        <v>75</v>
      </c>
      <c r="DZX67" s="137">
        <v>150</v>
      </c>
      <c r="DZY67" s="139">
        <f>SUM(DZT67:DZX67)</f>
        <v>8675</v>
      </c>
      <c r="DZZ67" s="137">
        <v>200</v>
      </c>
      <c r="EAA67" s="139">
        <f>SUM(DZY67:DZZ67)</f>
        <v>8875</v>
      </c>
      <c r="EAB67" s="132" t="s">
        <v>113</v>
      </c>
      <c r="EAC67" s="133">
        <v>45845</v>
      </c>
      <c r="EAD67" s="128" t="s">
        <v>41</v>
      </c>
      <c r="EAE67" s="207"/>
      <c r="EAF67" s="134" t="s">
        <v>136</v>
      </c>
      <c r="EAG67" s="205"/>
      <c r="EAH67" s="206"/>
      <c r="EAI67" s="128" t="s">
        <v>24</v>
      </c>
      <c r="EAJ67" s="129">
        <v>8150</v>
      </c>
      <c r="EAK67" s="137">
        <v>85</v>
      </c>
      <c r="EAL67" s="138">
        <v>215</v>
      </c>
      <c r="EAM67" s="138">
        <v>75</v>
      </c>
      <c r="EAN67" s="137">
        <v>150</v>
      </c>
      <c r="EAO67" s="139">
        <f>SUM(EAJ67:EAN67)</f>
        <v>8675</v>
      </c>
      <c r="EAP67" s="137">
        <v>200</v>
      </c>
      <c r="EAQ67" s="139">
        <f>SUM(EAO67:EAP67)</f>
        <v>8875</v>
      </c>
      <c r="EAR67" s="132" t="s">
        <v>113</v>
      </c>
      <c r="EAS67" s="133">
        <v>45845</v>
      </c>
      <c r="EAT67" s="128" t="s">
        <v>41</v>
      </c>
      <c r="EAU67" s="207"/>
      <c r="EAV67" s="134" t="s">
        <v>136</v>
      </c>
      <c r="EAW67" s="205"/>
      <c r="EAX67" s="206"/>
      <c r="EAY67" s="128" t="s">
        <v>24</v>
      </c>
      <c r="EAZ67" s="129">
        <v>8150</v>
      </c>
      <c r="EBA67" s="137">
        <v>85</v>
      </c>
      <c r="EBB67" s="138">
        <v>215</v>
      </c>
      <c r="EBC67" s="138">
        <v>75</v>
      </c>
      <c r="EBD67" s="137">
        <v>150</v>
      </c>
      <c r="EBE67" s="139">
        <f>SUM(EAZ67:EBD67)</f>
        <v>8675</v>
      </c>
      <c r="EBF67" s="137">
        <v>200</v>
      </c>
      <c r="EBG67" s="139">
        <f>SUM(EBE67:EBF67)</f>
        <v>8875</v>
      </c>
      <c r="EBH67" s="132" t="s">
        <v>113</v>
      </c>
      <c r="EBI67" s="133">
        <v>45845</v>
      </c>
      <c r="EBJ67" s="128" t="s">
        <v>41</v>
      </c>
      <c r="EBK67" s="207"/>
      <c r="EBL67" s="134" t="s">
        <v>136</v>
      </c>
      <c r="EBM67" s="205"/>
      <c r="EBN67" s="206"/>
      <c r="EBO67" s="128" t="s">
        <v>24</v>
      </c>
      <c r="EBP67" s="129">
        <v>8150</v>
      </c>
      <c r="EBQ67" s="137">
        <v>85</v>
      </c>
      <c r="EBR67" s="138">
        <v>215</v>
      </c>
      <c r="EBS67" s="138">
        <v>75</v>
      </c>
      <c r="EBT67" s="137">
        <v>150</v>
      </c>
      <c r="EBU67" s="139">
        <f>SUM(EBP67:EBT67)</f>
        <v>8675</v>
      </c>
      <c r="EBV67" s="137">
        <v>200</v>
      </c>
      <c r="EBW67" s="139">
        <f>SUM(EBU67:EBV67)</f>
        <v>8875</v>
      </c>
      <c r="EBX67" s="132" t="s">
        <v>113</v>
      </c>
      <c r="EBY67" s="133">
        <v>45845</v>
      </c>
      <c r="EBZ67" s="128" t="s">
        <v>41</v>
      </c>
      <c r="ECA67" s="207"/>
      <c r="ECB67" s="134" t="s">
        <v>136</v>
      </c>
      <c r="ECC67" s="205"/>
      <c r="ECD67" s="206"/>
      <c r="ECE67" s="128" t="s">
        <v>24</v>
      </c>
      <c r="ECF67" s="129">
        <v>8150</v>
      </c>
      <c r="ECG67" s="137">
        <v>85</v>
      </c>
      <c r="ECH67" s="138">
        <v>215</v>
      </c>
      <c r="ECI67" s="138">
        <v>75</v>
      </c>
      <c r="ECJ67" s="137">
        <v>150</v>
      </c>
      <c r="ECK67" s="139">
        <f>SUM(ECF67:ECJ67)</f>
        <v>8675</v>
      </c>
      <c r="ECL67" s="137">
        <v>200</v>
      </c>
      <c r="ECM67" s="139">
        <f>SUM(ECK67:ECL67)</f>
        <v>8875</v>
      </c>
      <c r="ECN67" s="132" t="s">
        <v>113</v>
      </c>
      <c r="ECO67" s="133">
        <v>45845</v>
      </c>
      <c r="ECP67" s="128" t="s">
        <v>41</v>
      </c>
      <c r="ECQ67" s="207"/>
      <c r="ECR67" s="134" t="s">
        <v>136</v>
      </c>
      <c r="ECS67" s="205"/>
      <c r="ECT67" s="206"/>
      <c r="ECU67" s="128" t="s">
        <v>24</v>
      </c>
      <c r="ECV67" s="129">
        <v>8150</v>
      </c>
      <c r="ECW67" s="137">
        <v>85</v>
      </c>
      <c r="ECX67" s="138">
        <v>215</v>
      </c>
      <c r="ECY67" s="138">
        <v>75</v>
      </c>
      <c r="ECZ67" s="137">
        <v>150</v>
      </c>
      <c r="EDA67" s="139">
        <f>SUM(ECV67:ECZ67)</f>
        <v>8675</v>
      </c>
      <c r="EDB67" s="137">
        <v>200</v>
      </c>
      <c r="EDC67" s="139">
        <f>SUM(EDA67:EDB67)</f>
        <v>8875</v>
      </c>
      <c r="EDD67" s="132" t="s">
        <v>113</v>
      </c>
      <c r="EDE67" s="133">
        <v>45845</v>
      </c>
      <c r="EDF67" s="128" t="s">
        <v>41</v>
      </c>
      <c r="EDG67" s="207"/>
      <c r="EDH67" s="134" t="s">
        <v>136</v>
      </c>
      <c r="EDI67" s="205"/>
      <c r="EDJ67" s="206"/>
      <c r="EDK67" s="128" t="s">
        <v>24</v>
      </c>
      <c r="EDL67" s="129">
        <v>8150</v>
      </c>
      <c r="EDM67" s="137">
        <v>85</v>
      </c>
      <c r="EDN67" s="138">
        <v>215</v>
      </c>
      <c r="EDO67" s="138">
        <v>75</v>
      </c>
      <c r="EDP67" s="137">
        <v>150</v>
      </c>
      <c r="EDQ67" s="139">
        <f>SUM(EDL67:EDP67)</f>
        <v>8675</v>
      </c>
      <c r="EDR67" s="137">
        <v>200</v>
      </c>
      <c r="EDS67" s="139">
        <f>SUM(EDQ67:EDR67)</f>
        <v>8875</v>
      </c>
      <c r="EDT67" s="132" t="s">
        <v>113</v>
      </c>
      <c r="EDU67" s="133">
        <v>45845</v>
      </c>
      <c r="EDV67" s="128" t="s">
        <v>41</v>
      </c>
      <c r="EDW67" s="207"/>
      <c r="EDX67" s="134" t="s">
        <v>136</v>
      </c>
      <c r="EDY67" s="205"/>
      <c r="EDZ67" s="206"/>
      <c r="EEA67" s="128" t="s">
        <v>24</v>
      </c>
      <c r="EEB67" s="129">
        <v>8150</v>
      </c>
      <c r="EEC67" s="137">
        <v>85</v>
      </c>
      <c r="EED67" s="138">
        <v>215</v>
      </c>
      <c r="EEE67" s="138">
        <v>75</v>
      </c>
      <c r="EEF67" s="137">
        <v>150</v>
      </c>
      <c r="EEG67" s="139">
        <f>SUM(EEB67:EEF67)</f>
        <v>8675</v>
      </c>
      <c r="EEH67" s="137">
        <v>200</v>
      </c>
      <c r="EEI67" s="139">
        <f>SUM(EEG67:EEH67)</f>
        <v>8875</v>
      </c>
      <c r="EEJ67" s="132" t="s">
        <v>113</v>
      </c>
      <c r="EEK67" s="133">
        <v>45845</v>
      </c>
      <c r="EEL67" s="128" t="s">
        <v>41</v>
      </c>
      <c r="EEM67" s="207"/>
      <c r="EEN67" s="134" t="s">
        <v>136</v>
      </c>
      <c r="EEO67" s="205"/>
      <c r="EEP67" s="206"/>
      <c r="EEQ67" s="128" t="s">
        <v>24</v>
      </c>
      <c r="EER67" s="129">
        <v>8150</v>
      </c>
      <c r="EES67" s="137">
        <v>85</v>
      </c>
      <c r="EET67" s="138">
        <v>215</v>
      </c>
      <c r="EEU67" s="138">
        <v>75</v>
      </c>
      <c r="EEV67" s="137">
        <v>150</v>
      </c>
      <c r="EEW67" s="139">
        <f>SUM(EER67:EEV67)</f>
        <v>8675</v>
      </c>
      <c r="EEX67" s="137">
        <v>200</v>
      </c>
      <c r="EEY67" s="139">
        <f>SUM(EEW67:EEX67)</f>
        <v>8875</v>
      </c>
      <c r="EEZ67" s="132" t="s">
        <v>113</v>
      </c>
      <c r="EFA67" s="133">
        <v>45845</v>
      </c>
      <c r="EFB67" s="128" t="s">
        <v>41</v>
      </c>
      <c r="EFC67" s="207"/>
      <c r="EFD67" s="134" t="s">
        <v>136</v>
      </c>
      <c r="EFE67" s="205"/>
      <c r="EFF67" s="206"/>
      <c r="EFG67" s="128" t="s">
        <v>24</v>
      </c>
      <c r="EFH67" s="129">
        <v>8150</v>
      </c>
      <c r="EFI67" s="137">
        <v>85</v>
      </c>
      <c r="EFJ67" s="138">
        <v>215</v>
      </c>
      <c r="EFK67" s="138">
        <v>75</v>
      </c>
      <c r="EFL67" s="137">
        <v>150</v>
      </c>
      <c r="EFM67" s="139">
        <f>SUM(EFH67:EFL67)</f>
        <v>8675</v>
      </c>
      <c r="EFN67" s="137">
        <v>200</v>
      </c>
      <c r="EFO67" s="139">
        <f>SUM(EFM67:EFN67)</f>
        <v>8875</v>
      </c>
      <c r="EFP67" s="132" t="s">
        <v>113</v>
      </c>
      <c r="EFQ67" s="133">
        <v>45845</v>
      </c>
      <c r="EFR67" s="128" t="s">
        <v>41</v>
      </c>
      <c r="EFS67" s="207"/>
      <c r="EFT67" s="134" t="s">
        <v>136</v>
      </c>
      <c r="EFU67" s="205"/>
      <c r="EFV67" s="206"/>
      <c r="EFW67" s="128" t="s">
        <v>24</v>
      </c>
      <c r="EFX67" s="129">
        <v>8150</v>
      </c>
      <c r="EFY67" s="137">
        <v>85</v>
      </c>
      <c r="EFZ67" s="138">
        <v>215</v>
      </c>
      <c r="EGA67" s="138">
        <v>75</v>
      </c>
      <c r="EGB67" s="137">
        <v>150</v>
      </c>
      <c r="EGC67" s="139">
        <f>SUM(EFX67:EGB67)</f>
        <v>8675</v>
      </c>
      <c r="EGD67" s="137">
        <v>200</v>
      </c>
      <c r="EGE67" s="139">
        <f>SUM(EGC67:EGD67)</f>
        <v>8875</v>
      </c>
      <c r="EGF67" s="132" t="s">
        <v>113</v>
      </c>
      <c r="EGG67" s="133">
        <v>45845</v>
      </c>
      <c r="EGH67" s="128" t="s">
        <v>41</v>
      </c>
      <c r="EGI67" s="207"/>
      <c r="EGJ67" s="134" t="s">
        <v>136</v>
      </c>
      <c r="EGK67" s="205"/>
      <c r="EGL67" s="206"/>
      <c r="EGM67" s="128" t="s">
        <v>24</v>
      </c>
      <c r="EGN67" s="129">
        <v>8150</v>
      </c>
      <c r="EGO67" s="137">
        <v>85</v>
      </c>
      <c r="EGP67" s="138">
        <v>215</v>
      </c>
      <c r="EGQ67" s="138">
        <v>75</v>
      </c>
      <c r="EGR67" s="137">
        <v>150</v>
      </c>
      <c r="EGS67" s="139">
        <f>SUM(EGN67:EGR67)</f>
        <v>8675</v>
      </c>
      <c r="EGT67" s="137">
        <v>200</v>
      </c>
      <c r="EGU67" s="139">
        <f>SUM(EGS67:EGT67)</f>
        <v>8875</v>
      </c>
      <c r="EGV67" s="132" t="s">
        <v>113</v>
      </c>
      <c r="EGW67" s="133">
        <v>45845</v>
      </c>
      <c r="EGX67" s="128" t="s">
        <v>41</v>
      </c>
      <c r="EGY67" s="207"/>
      <c r="EGZ67" s="134" t="s">
        <v>136</v>
      </c>
      <c r="EHA67" s="205"/>
      <c r="EHB67" s="206"/>
      <c r="EHC67" s="128" t="s">
        <v>24</v>
      </c>
      <c r="EHD67" s="129">
        <v>8150</v>
      </c>
      <c r="EHE67" s="137">
        <v>85</v>
      </c>
      <c r="EHF67" s="138">
        <v>215</v>
      </c>
      <c r="EHG67" s="138">
        <v>75</v>
      </c>
      <c r="EHH67" s="137">
        <v>150</v>
      </c>
      <c r="EHI67" s="139">
        <f>SUM(EHD67:EHH67)</f>
        <v>8675</v>
      </c>
      <c r="EHJ67" s="137">
        <v>200</v>
      </c>
      <c r="EHK67" s="139">
        <f>SUM(EHI67:EHJ67)</f>
        <v>8875</v>
      </c>
      <c r="EHL67" s="132" t="s">
        <v>113</v>
      </c>
      <c r="EHM67" s="133">
        <v>45845</v>
      </c>
      <c r="EHN67" s="128" t="s">
        <v>41</v>
      </c>
      <c r="EHO67" s="207"/>
      <c r="EHP67" s="134" t="s">
        <v>136</v>
      </c>
      <c r="EHQ67" s="205"/>
      <c r="EHR67" s="206"/>
      <c r="EHS67" s="128" t="s">
        <v>24</v>
      </c>
      <c r="EHT67" s="129">
        <v>8150</v>
      </c>
      <c r="EHU67" s="137">
        <v>85</v>
      </c>
      <c r="EHV67" s="138">
        <v>215</v>
      </c>
      <c r="EHW67" s="138">
        <v>75</v>
      </c>
      <c r="EHX67" s="137">
        <v>150</v>
      </c>
      <c r="EHY67" s="139">
        <f>SUM(EHT67:EHX67)</f>
        <v>8675</v>
      </c>
      <c r="EHZ67" s="137">
        <v>200</v>
      </c>
      <c r="EIA67" s="139">
        <f>SUM(EHY67:EHZ67)</f>
        <v>8875</v>
      </c>
      <c r="EIB67" s="132" t="s">
        <v>113</v>
      </c>
      <c r="EIC67" s="133">
        <v>45845</v>
      </c>
      <c r="EID67" s="128" t="s">
        <v>41</v>
      </c>
      <c r="EIE67" s="207"/>
      <c r="EIF67" s="134" t="s">
        <v>136</v>
      </c>
      <c r="EIG67" s="205"/>
      <c r="EIH67" s="206"/>
      <c r="EII67" s="128" t="s">
        <v>24</v>
      </c>
      <c r="EIJ67" s="129">
        <v>8150</v>
      </c>
      <c r="EIK67" s="137">
        <v>85</v>
      </c>
      <c r="EIL67" s="138">
        <v>215</v>
      </c>
      <c r="EIM67" s="138">
        <v>75</v>
      </c>
      <c r="EIN67" s="137">
        <v>150</v>
      </c>
      <c r="EIO67" s="139">
        <f>SUM(EIJ67:EIN67)</f>
        <v>8675</v>
      </c>
      <c r="EIP67" s="137">
        <v>200</v>
      </c>
      <c r="EIQ67" s="139">
        <f>SUM(EIO67:EIP67)</f>
        <v>8875</v>
      </c>
      <c r="EIR67" s="132" t="s">
        <v>113</v>
      </c>
      <c r="EIS67" s="133">
        <v>45845</v>
      </c>
      <c r="EIT67" s="128" t="s">
        <v>41</v>
      </c>
      <c r="EIU67" s="207"/>
      <c r="EIV67" s="134" t="s">
        <v>136</v>
      </c>
      <c r="EIW67" s="205"/>
      <c r="EIX67" s="206"/>
      <c r="EIY67" s="128" t="s">
        <v>24</v>
      </c>
      <c r="EIZ67" s="129">
        <v>8150</v>
      </c>
      <c r="EJA67" s="137">
        <v>85</v>
      </c>
      <c r="EJB67" s="138">
        <v>215</v>
      </c>
      <c r="EJC67" s="138">
        <v>75</v>
      </c>
      <c r="EJD67" s="137">
        <v>150</v>
      </c>
      <c r="EJE67" s="139">
        <f>SUM(EIZ67:EJD67)</f>
        <v>8675</v>
      </c>
      <c r="EJF67" s="137">
        <v>200</v>
      </c>
      <c r="EJG67" s="139">
        <f>SUM(EJE67:EJF67)</f>
        <v>8875</v>
      </c>
      <c r="EJH67" s="132" t="s">
        <v>113</v>
      </c>
      <c r="EJI67" s="133">
        <v>45845</v>
      </c>
      <c r="EJJ67" s="128" t="s">
        <v>41</v>
      </c>
      <c r="EJK67" s="207"/>
      <c r="EJL67" s="134" t="s">
        <v>136</v>
      </c>
      <c r="EJM67" s="205"/>
      <c r="EJN67" s="206"/>
      <c r="EJO67" s="128" t="s">
        <v>24</v>
      </c>
      <c r="EJP67" s="129">
        <v>8150</v>
      </c>
      <c r="EJQ67" s="137">
        <v>85</v>
      </c>
      <c r="EJR67" s="138">
        <v>215</v>
      </c>
      <c r="EJS67" s="138">
        <v>75</v>
      </c>
      <c r="EJT67" s="137">
        <v>150</v>
      </c>
      <c r="EJU67" s="139">
        <f>SUM(EJP67:EJT67)</f>
        <v>8675</v>
      </c>
      <c r="EJV67" s="137">
        <v>200</v>
      </c>
      <c r="EJW67" s="139">
        <f>SUM(EJU67:EJV67)</f>
        <v>8875</v>
      </c>
      <c r="EJX67" s="132" t="s">
        <v>113</v>
      </c>
      <c r="EJY67" s="133">
        <v>45845</v>
      </c>
      <c r="EJZ67" s="128" t="s">
        <v>41</v>
      </c>
      <c r="EKA67" s="207"/>
      <c r="EKB67" s="134" t="s">
        <v>136</v>
      </c>
      <c r="EKC67" s="205"/>
      <c r="EKD67" s="206"/>
      <c r="EKE67" s="128" t="s">
        <v>24</v>
      </c>
      <c r="EKF67" s="129">
        <v>8150</v>
      </c>
      <c r="EKG67" s="137">
        <v>85</v>
      </c>
      <c r="EKH67" s="138">
        <v>215</v>
      </c>
      <c r="EKI67" s="138">
        <v>75</v>
      </c>
      <c r="EKJ67" s="137">
        <v>150</v>
      </c>
      <c r="EKK67" s="139">
        <f>SUM(EKF67:EKJ67)</f>
        <v>8675</v>
      </c>
      <c r="EKL67" s="137">
        <v>200</v>
      </c>
      <c r="EKM67" s="139">
        <f>SUM(EKK67:EKL67)</f>
        <v>8875</v>
      </c>
      <c r="EKN67" s="132" t="s">
        <v>113</v>
      </c>
      <c r="EKO67" s="133">
        <v>45845</v>
      </c>
      <c r="EKP67" s="128" t="s">
        <v>41</v>
      </c>
      <c r="EKQ67" s="207"/>
      <c r="EKR67" s="134" t="s">
        <v>136</v>
      </c>
      <c r="EKS67" s="205"/>
      <c r="EKT67" s="206"/>
      <c r="EKU67" s="128" t="s">
        <v>24</v>
      </c>
      <c r="EKV67" s="129">
        <v>8150</v>
      </c>
      <c r="EKW67" s="137">
        <v>85</v>
      </c>
      <c r="EKX67" s="138">
        <v>215</v>
      </c>
      <c r="EKY67" s="138">
        <v>75</v>
      </c>
      <c r="EKZ67" s="137">
        <v>150</v>
      </c>
      <c r="ELA67" s="139">
        <f>SUM(EKV67:EKZ67)</f>
        <v>8675</v>
      </c>
      <c r="ELB67" s="137">
        <v>200</v>
      </c>
      <c r="ELC67" s="139">
        <f>SUM(ELA67:ELB67)</f>
        <v>8875</v>
      </c>
      <c r="ELD67" s="132" t="s">
        <v>113</v>
      </c>
      <c r="ELE67" s="133">
        <v>45845</v>
      </c>
      <c r="ELF67" s="128" t="s">
        <v>41</v>
      </c>
      <c r="ELG67" s="207"/>
      <c r="ELH67" s="134" t="s">
        <v>136</v>
      </c>
      <c r="ELI67" s="205"/>
      <c r="ELJ67" s="206"/>
      <c r="ELK67" s="128" t="s">
        <v>24</v>
      </c>
      <c r="ELL67" s="129">
        <v>8150</v>
      </c>
      <c r="ELM67" s="137">
        <v>85</v>
      </c>
      <c r="ELN67" s="138">
        <v>215</v>
      </c>
      <c r="ELO67" s="138">
        <v>75</v>
      </c>
      <c r="ELP67" s="137">
        <v>150</v>
      </c>
      <c r="ELQ67" s="139">
        <f>SUM(ELL67:ELP67)</f>
        <v>8675</v>
      </c>
      <c r="ELR67" s="137">
        <v>200</v>
      </c>
      <c r="ELS67" s="139">
        <f>SUM(ELQ67:ELR67)</f>
        <v>8875</v>
      </c>
      <c r="ELT67" s="132" t="s">
        <v>113</v>
      </c>
      <c r="ELU67" s="133">
        <v>45845</v>
      </c>
      <c r="ELV67" s="128" t="s">
        <v>41</v>
      </c>
      <c r="ELW67" s="207"/>
      <c r="ELX67" s="134" t="s">
        <v>136</v>
      </c>
      <c r="ELY67" s="205"/>
      <c r="ELZ67" s="206"/>
      <c r="EMA67" s="128" t="s">
        <v>24</v>
      </c>
      <c r="EMB67" s="129">
        <v>8150</v>
      </c>
      <c r="EMC67" s="137">
        <v>85</v>
      </c>
      <c r="EMD67" s="138">
        <v>215</v>
      </c>
      <c r="EME67" s="138">
        <v>75</v>
      </c>
      <c r="EMF67" s="137">
        <v>150</v>
      </c>
      <c r="EMG67" s="139">
        <f>SUM(EMB67:EMF67)</f>
        <v>8675</v>
      </c>
      <c r="EMH67" s="137">
        <v>200</v>
      </c>
      <c r="EMI67" s="139">
        <f>SUM(EMG67:EMH67)</f>
        <v>8875</v>
      </c>
      <c r="EMJ67" s="132" t="s">
        <v>113</v>
      </c>
      <c r="EMK67" s="133">
        <v>45845</v>
      </c>
      <c r="EML67" s="128" t="s">
        <v>41</v>
      </c>
      <c r="EMM67" s="207"/>
      <c r="EMN67" s="134" t="s">
        <v>136</v>
      </c>
      <c r="EMO67" s="205"/>
      <c r="EMP67" s="206"/>
      <c r="EMQ67" s="128" t="s">
        <v>24</v>
      </c>
      <c r="EMR67" s="129">
        <v>8150</v>
      </c>
      <c r="EMS67" s="137">
        <v>85</v>
      </c>
      <c r="EMT67" s="138">
        <v>215</v>
      </c>
      <c r="EMU67" s="138">
        <v>75</v>
      </c>
      <c r="EMV67" s="137">
        <v>150</v>
      </c>
      <c r="EMW67" s="139">
        <f>SUM(EMR67:EMV67)</f>
        <v>8675</v>
      </c>
      <c r="EMX67" s="137">
        <v>200</v>
      </c>
      <c r="EMY67" s="139">
        <f>SUM(EMW67:EMX67)</f>
        <v>8875</v>
      </c>
      <c r="EMZ67" s="132" t="s">
        <v>113</v>
      </c>
      <c r="ENA67" s="133">
        <v>45845</v>
      </c>
      <c r="ENB67" s="128" t="s">
        <v>41</v>
      </c>
      <c r="ENC67" s="207"/>
      <c r="END67" s="134" t="s">
        <v>136</v>
      </c>
      <c r="ENE67" s="205"/>
      <c r="ENF67" s="206"/>
      <c r="ENG67" s="128" t="s">
        <v>24</v>
      </c>
      <c r="ENH67" s="129">
        <v>8150</v>
      </c>
      <c r="ENI67" s="137">
        <v>85</v>
      </c>
      <c r="ENJ67" s="138">
        <v>215</v>
      </c>
      <c r="ENK67" s="138">
        <v>75</v>
      </c>
      <c r="ENL67" s="137">
        <v>150</v>
      </c>
      <c r="ENM67" s="139">
        <f>SUM(ENH67:ENL67)</f>
        <v>8675</v>
      </c>
      <c r="ENN67" s="137">
        <v>200</v>
      </c>
      <c r="ENO67" s="139">
        <f>SUM(ENM67:ENN67)</f>
        <v>8875</v>
      </c>
      <c r="ENP67" s="132" t="s">
        <v>113</v>
      </c>
      <c r="ENQ67" s="133">
        <v>45845</v>
      </c>
      <c r="ENR67" s="128" t="s">
        <v>41</v>
      </c>
      <c r="ENS67" s="207"/>
      <c r="ENT67" s="134" t="s">
        <v>136</v>
      </c>
      <c r="ENU67" s="205"/>
      <c r="ENV67" s="206"/>
      <c r="ENW67" s="128" t="s">
        <v>24</v>
      </c>
      <c r="ENX67" s="129">
        <v>8150</v>
      </c>
      <c r="ENY67" s="137">
        <v>85</v>
      </c>
      <c r="ENZ67" s="138">
        <v>215</v>
      </c>
      <c r="EOA67" s="138">
        <v>75</v>
      </c>
      <c r="EOB67" s="137">
        <v>150</v>
      </c>
      <c r="EOC67" s="139">
        <f>SUM(ENX67:EOB67)</f>
        <v>8675</v>
      </c>
      <c r="EOD67" s="137">
        <v>200</v>
      </c>
      <c r="EOE67" s="139">
        <f>SUM(EOC67:EOD67)</f>
        <v>8875</v>
      </c>
      <c r="EOF67" s="132" t="s">
        <v>113</v>
      </c>
      <c r="EOG67" s="133">
        <v>45845</v>
      </c>
      <c r="EOH67" s="128" t="s">
        <v>41</v>
      </c>
      <c r="EOI67" s="207"/>
      <c r="EOJ67" s="134" t="s">
        <v>136</v>
      </c>
      <c r="EOK67" s="205"/>
      <c r="EOL67" s="206"/>
      <c r="EOM67" s="128" t="s">
        <v>24</v>
      </c>
      <c r="EON67" s="129">
        <v>8150</v>
      </c>
      <c r="EOO67" s="137">
        <v>85</v>
      </c>
      <c r="EOP67" s="138">
        <v>215</v>
      </c>
      <c r="EOQ67" s="138">
        <v>75</v>
      </c>
      <c r="EOR67" s="137">
        <v>150</v>
      </c>
      <c r="EOS67" s="139">
        <f>SUM(EON67:EOR67)</f>
        <v>8675</v>
      </c>
      <c r="EOT67" s="137">
        <v>200</v>
      </c>
      <c r="EOU67" s="139">
        <f>SUM(EOS67:EOT67)</f>
        <v>8875</v>
      </c>
      <c r="EOV67" s="132" t="s">
        <v>113</v>
      </c>
      <c r="EOW67" s="133">
        <v>45845</v>
      </c>
      <c r="EOX67" s="128" t="s">
        <v>41</v>
      </c>
      <c r="EOY67" s="207"/>
      <c r="EOZ67" s="134" t="s">
        <v>136</v>
      </c>
      <c r="EPA67" s="205"/>
      <c r="EPB67" s="206"/>
      <c r="EPC67" s="128" t="s">
        <v>24</v>
      </c>
      <c r="EPD67" s="129">
        <v>8150</v>
      </c>
      <c r="EPE67" s="137">
        <v>85</v>
      </c>
      <c r="EPF67" s="138">
        <v>215</v>
      </c>
      <c r="EPG67" s="138">
        <v>75</v>
      </c>
      <c r="EPH67" s="137">
        <v>150</v>
      </c>
      <c r="EPI67" s="139">
        <f>SUM(EPD67:EPH67)</f>
        <v>8675</v>
      </c>
      <c r="EPJ67" s="137">
        <v>200</v>
      </c>
      <c r="EPK67" s="139">
        <f>SUM(EPI67:EPJ67)</f>
        <v>8875</v>
      </c>
      <c r="EPL67" s="132" t="s">
        <v>113</v>
      </c>
      <c r="EPM67" s="133">
        <v>45845</v>
      </c>
      <c r="EPN67" s="128" t="s">
        <v>41</v>
      </c>
      <c r="EPO67" s="207"/>
      <c r="EPP67" s="134" t="s">
        <v>136</v>
      </c>
      <c r="EPQ67" s="205"/>
      <c r="EPR67" s="206"/>
      <c r="EPS67" s="128" t="s">
        <v>24</v>
      </c>
      <c r="EPT67" s="129">
        <v>8150</v>
      </c>
      <c r="EPU67" s="137">
        <v>85</v>
      </c>
      <c r="EPV67" s="138">
        <v>215</v>
      </c>
      <c r="EPW67" s="138">
        <v>75</v>
      </c>
      <c r="EPX67" s="137">
        <v>150</v>
      </c>
      <c r="EPY67" s="139">
        <f>SUM(EPT67:EPX67)</f>
        <v>8675</v>
      </c>
      <c r="EPZ67" s="137">
        <v>200</v>
      </c>
      <c r="EQA67" s="139">
        <f>SUM(EPY67:EPZ67)</f>
        <v>8875</v>
      </c>
      <c r="EQB67" s="132" t="s">
        <v>113</v>
      </c>
      <c r="EQC67" s="133">
        <v>45845</v>
      </c>
      <c r="EQD67" s="128" t="s">
        <v>41</v>
      </c>
      <c r="EQE67" s="207"/>
      <c r="EQF67" s="134" t="s">
        <v>136</v>
      </c>
      <c r="EQG67" s="205"/>
      <c r="EQH67" s="206"/>
      <c r="EQI67" s="128" t="s">
        <v>24</v>
      </c>
      <c r="EQJ67" s="129">
        <v>8150</v>
      </c>
      <c r="EQK67" s="137">
        <v>85</v>
      </c>
      <c r="EQL67" s="138">
        <v>215</v>
      </c>
      <c r="EQM67" s="138">
        <v>75</v>
      </c>
      <c r="EQN67" s="137">
        <v>150</v>
      </c>
      <c r="EQO67" s="139">
        <f>SUM(EQJ67:EQN67)</f>
        <v>8675</v>
      </c>
      <c r="EQP67" s="137">
        <v>200</v>
      </c>
      <c r="EQQ67" s="139">
        <f>SUM(EQO67:EQP67)</f>
        <v>8875</v>
      </c>
      <c r="EQR67" s="132" t="s">
        <v>113</v>
      </c>
      <c r="EQS67" s="133">
        <v>45845</v>
      </c>
      <c r="EQT67" s="128" t="s">
        <v>41</v>
      </c>
      <c r="EQU67" s="207"/>
      <c r="EQV67" s="134" t="s">
        <v>136</v>
      </c>
      <c r="EQW67" s="205"/>
      <c r="EQX67" s="206"/>
      <c r="EQY67" s="128" t="s">
        <v>24</v>
      </c>
      <c r="EQZ67" s="129">
        <v>8150</v>
      </c>
      <c r="ERA67" s="137">
        <v>85</v>
      </c>
      <c r="ERB67" s="138">
        <v>215</v>
      </c>
      <c r="ERC67" s="138">
        <v>75</v>
      </c>
      <c r="ERD67" s="137">
        <v>150</v>
      </c>
      <c r="ERE67" s="139">
        <f>SUM(EQZ67:ERD67)</f>
        <v>8675</v>
      </c>
      <c r="ERF67" s="137">
        <v>200</v>
      </c>
      <c r="ERG67" s="139">
        <f>SUM(ERE67:ERF67)</f>
        <v>8875</v>
      </c>
      <c r="ERH67" s="132" t="s">
        <v>113</v>
      </c>
      <c r="ERI67" s="133">
        <v>45845</v>
      </c>
      <c r="ERJ67" s="128" t="s">
        <v>41</v>
      </c>
      <c r="ERK67" s="207"/>
      <c r="ERL67" s="134" t="s">
        <v>136</v>
      </c>
      <c r="ERM67" s="205"/>
      <c r="ERN67" s="206"/>
      <c r="ERO67" s="128" t="s">
        <v>24</v>
      </c>
      <c r="ERP67" s="129">
        <v>8150</v>
      </c>
      <c r="ERQ67" s="137">
        <v>85</v>
      </c>
      <c r="ERR67" s="138">
        <v>215</v>
      </c>
      <c r="ERS67" s="138">
        <v>75</v>
      </c>
      <c r="ERT67" s="137">
        <v>150</v>
      </c>
      <c r="ERU67" s="139">
        <f>SUM(ERP67:ERT67)</f>
        <v>8675</v>
      </c>
      <c r="ERV67" s="137">
        <v>200</v>
      </c>
      <c r="ERW67" s="139">
        <f>SUM(ERU67:ERV67)</f>
        <v>8875</v>
      </c>
      <c r="ERX67" s="132" t="s">
        <v>113</v>
      </c>
      <c r="ERY67" s="133">
        <v>45845</v>
      </c>
      <c r="ERZ67" s="128" t="s">
        <v>41</v>
      </c>
      <c r="ESA67" s="207"/>
      <c r="ESB67" s="134" t="s">
        <v>136</v>
      </c>
      <c r="ESC67" s="205"/>
      <c r="ESD67" s="206"/>
      <c r="ESE67" s="128" t="s">
        <v>24</v>
      </c>
      <c r="ESF67" s="129">
        <v>8150</v>
      </c>
      <c r="ESG67" s="137">
        <v>85</v>
      </c>
      <c r="ESH67" s="138">
        <v>215</v>
      </c>
      <c r="ESI67" s="138">
        <v>75</v>
      </c>
      <c r="ESJ67" s="137">
        <v>150</v>
      </c>
      <c r="ESK67" s="139">
        <f>SUM(ESF67:ESJ67)</f>
        <v>8675</v>
      </c>
      <c r="ESL67" s="137">
        <v>200</v>
      </c>
      <c r="ESM67" s="139">
        <f>SUM(ESK67:ESL67)</f>
        <v>8875</v>
      </c>
      <c r="ESN67" s="132" t="s">
        <v>113</v>
      </c>
      <c r="ESO67" s="133">
        <v>45845</v>
      </c>
      <c r="ESP67" s="128" t="s">
        <v>41</v>
      </c>
      <c r="ESQ67" s="207"/>
      <c r="ESR67" s="134" t="s">
        <v>136</v>
      </c>
      <c r="ESS67" s="205"/>
      <c r="EST67" s="206"/>
      <c r="ESU67" s="128" t="s">
        <v>24</v>
      </c>
      <c r="ESV67" s="129">
        <v>8150</v>
      </c>
      <c r="ESW67" s="137">
        <v>85</v>
      </c>
      <c r="ESX67" s="138">
        <v>215</v>
      </c>
      <c r="ESY67" s="138">
        <v>75</v>
      </c>
      <c r="ESZ67" s="137">
        <v>150</v>
      </c>
      <c r="ETA67" s="139">
        <f>SUM(ESV67:ESZ67)</f>
        <v>8675</v>
      </c>
      <c r="ETB67" s="137">
        <v>200</v>
      </c>
      <c r="ETC67" s="139">
        <f>SUM(ETA67:ETB67)</f>
        <v>8875</v>
      </c>
      <c r="ETD67" s="132" t="s">
        <v>113</v>
      </c>
      <c r="ETE67" s="133">
        <v>45845</v>
      </c>
      <c r="ETF67" s="128" t="s">
        <v>41</v>
      </c>
      <c r="ETG67" s="207"/>
      <c r="ETH67" s="134" t="s">
        <v>136</v>
      </c>
      <c r="ETI67" s="205"/>
      <c r="ETJ67" s="206"/>
      <c r="ETK67" s="128" t="s">
        <v>24</v>
      </c>
      <c r="ETL67" s="129">
        <v>8150</v>
      </c>
      <c r="ETM67" s="137">
        <v>85</v>
      </c>
      <c r="ETN67" s="138">
        <v>215</v>
      </c>
      <c r="ETO67" s="138">
        <v>75</v>
      </c>
      <c r="ETP67" s="137">
        <v>150</v>
      </c>
      <c r="ETQ67" s="139">
        <f>SUM(ETL67:ETP67)</f>
        <v>8675</v>
      </c>
      <c r="ETR67" s="137">
        <v>200</v>
      </c>
      <c r="ETS67" s="139">
        <f>SUM(ETQ67:ETR67)</f>
        <v>8875</v>
      </c>
      <c r="ETT67" s="132" t="s">
        <v>113</v>
      </c>
      <c r="ETU67" s="133">
        <v>45845</v>
      </c>
      <c r="ETV67" s="128" t="s">
        <v>41</v>
      </c>
      <c r="ETW67" s="207"/>
      <c r="ETX67" s="134" t="s">
        <v>136</v>
      </c>
      <c r="ETY67" s="205"/>
      <c r="ETZ67" s="206"/>
      <c r="EUA67" s="128" t="s">
        <v>24</v>
      </c>
      <c r="EUB67" s="129">
        <v>8150</v>
      </c>
      <c r="EUC67" s="137">
        <v>85</v>
      </c>
      <c r="EUD67" s="138">
        <v>215</v>
      </c>
      <c r="EUE67" s="138">
        <v>75</v>
      </c>
      <c r="EUF67" s="137">
        <v>150</v>
      </c>
      <c r="EUG67" s="139">
        <f>SUM(EUB67:EUF67)</f>
        <v>8675</v>
      </c>
      <c r="EUH67" s="137">
        <v>200</v>
      </c>
      <c r="EUI67" s="139">
        <f>SUM(EUG67:EUH67)</f>
        <v>8875</v>
      </c>
      <c r="EUJ67" s="132" t="s">
        <v>113</v>
      </c>
      <c r="EUK67" s="133">
        <v>45845</v>
      </c>
      <c r="EUL67" s="128" t="s">
        <v>41</v>
      </c>
      <c r="EUM67" s="207"/>
      <c r="EUN67" s="134" t="s">
        <v>136</v>
      </c>
      <c r="EUO67" s="205"/>
      <c r="EUP67" s="206"/>
      <c r="EUQ67" s="128" t="s">
        <v>24</v>
      </c>
      <c r="EUR67" s="129">
        <v>8150</v>
      </c>
      <c r="EUS67" s="137">
        <v>85</v>
      </c>
      <c r="EUT67" s="138">
        <v>215</v>
      </c>
      <c r="EUU67" s="138">
        <v>75</v>
      </c>
      <c r="EUV67" s="137">
        <v>150</v>
      </c>
      <c r="EUW67" s="139">
        <f>SUM(EUR67:EUV67)</f>
        <v>8675</v>
      </c>
      <c r="EUX67" s="137">
        <v>200</v>
      </c>
      <c r="EUY67" s="139">
        <f>SUM(EUW67:EUX67)</f>
        <v>8875</v>
      </c>
      <c r="EUZ67" s="132" t="s">
        <v>113</v>
      </c>
      <c r="EVA67" s="133">
        <v>45845</v>
      </c>
      <c r="EVB67" s="128" t="s">
        <v>41</v>
      </c>
      <c r="EVC67" s="207"/>
      <c r="EVD67" s="134" t="s">
        <v>136</v>
      </c>
      <c r="EVE67" s="205"/>
      <c r="EVF67" s="206"/>
      <c r="EVG67" s="128" t="s">
        <v>24</v>
      </c>
      <c r="EVH67" s="129">
        <v>8150</v>
      </c>
      <c r="EVI67" s="137">
        <v>85</v>
      </c>
      <c r="EVJ67" s="138">
        <v>215</v>
      </c>
      <c r="EVK67" s="138">
        <v>75</v>
      </c>
      <c r="EVL67" s="137">
        <v>150</v>
      </c>
      <c r="EVM67" s="139">
        <f>SUM(EVH67:EVL67)</f>
        <v>8675</v>
      </c>
      <c r="EVN67" s="137">
        <v>200</v>
      </c>
      <c r="EVO67" s="139">
        <f>SUM(EVM67:EVN67)</f>
        <v>8875</v>
      </c>
      <c r="EVP67" s="132" t="s">
        <v>113</v>
      </c>
      <c r="EVQ67" s="133">
        <v>45845</v>
      </c>
      <c r="EVR67" s="128" t="s">
        <v>41</v>
      </c>
      <c r="EVS67" s="207"/>
      <c r="EVT67" s="134" t="s">
        <v>136</v>
      </c>
      <c r="EVU67" s="205"/>
      <c r="EVV67" s="206"/>
      <c r="EVW67" s="128" t="s">
        <v>24</v>
      </c>
      <c r="EVX67" s="129">
        <v>8150</v>
      </c>
      <c r="EVY67" s="137">
        <v>85</v>
      </c>
      <c r="EVZ67" s="138">
        <v>215</v>
      </c>
      <c r="EWA67" s="138">
        <v>75</v>
      </c>
      <c r="EWB67" s="137">
        <v>150</v>
      </c>
      <c r="EWC67" s="139">
        <f>SUM(EVX67:EWB67)</f>
        <v>8675</v>
      </c>
      <c r="EWD67" s="137">
        <v>200</v>
      </c>
      <c r="EWE67" s="139">
        <f>SUM(EWC67:EWD67)</f>
        <v>8875</v>
      </c>
      <c r="EWF67" s="132" t="s">
        <v>113</v>
      </c>
      <c r="EWG67" s="133">
        <v>45845</v>
      </c>
      <c r="EWH67" s="128" t="s">
        <v>41</v>
      </c>
      <c r="EWI67" s="207"/>
      <c r="EWJ67" s="134" t="s">
        <v>136</v>
      </c>
      <c r="EWK67" s="205"/>
      <c r="EWL67" s="206"/>
      <c r="EWM67" s="128" t="s">
        <v>24</v>
      </c>
      <c r="EWN67" s="129">
        <v>8150</v>
      </c>
      <c r="EWO67" s="137">
        <v>85</v>
      </c>
      <c r="EWP67" s="138">
        <v>215</v>
      </c>
      <c r="EWQ67" s="138">
        <v>75</v>
      </c>
      <c r="EWR67" s="137">
        <v>150</v>
      </c>
      <c r="EWS67" s="139">
        <f>SUM(EWN67:EWR67)</f>
        <v>8675</v>
      </c>
      <c r="EWT67" s="137">
        <v>200</v>
      </c>
      <c r="EWU67" s="139">
        <f>SUM(EWS67:EWT67)</f>
        <v>8875</v>
      </c>
      <c r="EWV67" s="132" t="s">
        <v>113</v>
      </c>
      <c r="EWW67" s="133">
        <v>45845</v>
      </c>
      <c r="EWX67" s="128" t="s">
        <v>41</v>
      </c>
      <c r="EWY67" s="207"/>
      <c r="EWZ67" s="134" t="s">
        <v>136</v>
      </c>
      <c r="EXA67" s="205"/>
      <c r="EXB67" s="206"/>
      <c r="EXC67" s="128" t="s">
        <v>24</v>
      </c>
      <c r="EXD67" s="129">
        <v>8150</v>
      </c>
      <c r="EXE67" s="137">
        <v>85</v>
      </c>
      <c r="EXF67" s="138">
        <v>215</v>
      </c>
      <c r="EXG67" s="138">
        <v>75</v>
      </c>
      <c r="EXH67" s="137">
        <v>150</v>
      </c>
      <c r="EXI67" s="139">
        <f>SUM(EXD67:EXH67)</f>
        <v>8675</v>
      </c>
      <c r="EXJ67" s="137">
        <v>200</v>
      </c>
      <c r="EXK67" s="139">
        <f>SUM(EXI67:EXJ67)</f>
        <v>8875</v>
      </c>
      <c r="EXL67" s="132" t="s">
        <v>113</v>
      </c>
      <c r="EXM67" s="133">
        <v>45845</v>
      </c>
      <c r="EXN67" s="128" t="s">
        <v>41</v>
      </c>
      <c r="EXO67" s="207"/>
      <c r="EXP67" s="134" t="s">
        <v>136</v>
      </c>
      <c r="EXQ67" s="205"/>
      <c r="EXR67" s="206"/>
      <c r="EXS67" s="128" t="s">
        <v>24</v>
      </c>
      <c r="EXT67" s="129">
        <v>8150</v>
      </c>
      <c r="EXU67" s="137">
        <v>85</v>
      </c>
      <c r="EXV67" s="138">
        <v>215</v>
      </c>
      <c r="EXW67" s="138">
        <v>75</v>
      </c>
      <c r="EXX67" s="137">
        <v>150</v>
      </c>
      <c r="EXY67" s="139">
        <f>SUM(EXT67:EXX67)</f>
        <v>8675</v>
      </c>
      <c r="EXZ67" s="137">
        <v>200</v>
      </c>
      <c r="EYA67" s="139">
        <f>SUM(EXY67:EXZ67)</f>
        <v>8875</v>
      </c>
      <c r="EYB67" s="132" t="s">
        <v>113</v>
      </c>
      <c r="EYC67" s="133">
        <v>45845</v>
      </c>
      <c r="EYD67" s="128" t="s">
        <v>41</v>
      </c>
      <c r="EYE67" s="207"/>
      <c r="EYF67" s="134" t="s">
        <v>136</v>
      </c>
      <c r="EYG67" s="205"/>
      <c r="EYH67" s="206"/>
      <c r="EYI67" s="128" t="s">
        <v>24</v>
      </c>
      <c r="EYJ67" s="129">
        <v>8150</v>
      </c>
      <c r="EYK67" s="137">
        <v>85</v>
      </c>
      <c r="EYL67" s="138">
        <v>215</v>
      </c>
      <c r="EYM67" s="138">
        <v>75</v>
      </c>
      <c r="EYN67" s="137">
        <v>150</v>
      </c>
      <c r="EYO67" s="139">
        <f>SUM(EYJ67:EYN67)</f>
        <v>8675</v>
      </c>
      <c r="EYP67" s="137">
        <v>200</v>
      </c>
      <c r="EYQ67" s="139">
        <f>SUM(EYO67:EYP67)</f>
        <v>8875</v>
      </c>
      <c r="EYR67" s="132" t="s">
        <v>113</v>
      </c>
      <c r="EYS67" s="133">
        <v>45845</v>
      </c>
      <c r="EYT67" s="128" t="s">
        <v>41</v>
      </c>
      <c r="EYU67" s="207"/>
      <c r="EYV67" s="134" t="s">
        <v>136</v>
      </c>
      <c r="EYW67" s="205"/>
      <c r="EYX67" s="206"/>
      <c r="EYY67" s="128" t="s">
        <v>24</v>
      </c>
      <c r="EYZ67" s="129">
        <v>8150</v>
      </c>
      <c r="EZA67" s="137">
        <v>85</v>
      </c>
      <c r="EZB67" s="138">
        <v>215</v>
      </c>
      <c r="EZC67" s="138">
        <v>75</v>
      </c>
      <c r="EZD67" s="137">
        <v>150</v>
      </c>
      <c r="EZE67" s="139">
        <f>SUM(EYZ67:EZD67)</f>
        <v>8675</v>
      </c>
      <c r="EZF67" s="137">
        <v>200</v>
      </c>
      <c r="EZG67" s="139">
        <f>SUM(EZE67:EZF67)</f>
        <v>8875</v>
      </c>
      <c r="EZH67" s="132" t="s">
        <v>113</v>
      </c>
      <c r="EZI67" s="133">
        <v>45845</v>
      </c>
      <c r="EZJ67" s="128" t="s">
        <v>41</v>
      </c>
      <c r="EZK67" s="207"/>
      <c r="EZL67" s="134" t="s">
        <v>136</v>
      </c>
      <c r="EZM67" s="205"/>
      <c r="EZN67" s="206"/>
      <c r="EZO67" s="128" t="s">
        <v>24</v>
      </c>
      <c r="EZP67" s="129">
        <v>8150</v>
      </c>
      <c r="EZQ67" s="137">
        <v>85</v>
      </c>
      <c r="EZR67" s="138">
        <v>215</v>
      </c>
      <c r="EZS67" s="138">
        <v>75</v>
      </c>
      <c r="EZT67" s="137">
        <v>150</v>
      </c>
      <c r="EZU67" s="139">
        <f>SUM(EZP67:EZT67)</f>
        <v>8675</v>
      </c>
      <c r="EZV67" s="137">
        <v>200</v>
      </c>
      <c r="EZW67" s="139">
        <f>SUM(EZU67:EZV67)</f>
        <v>8875</v>
      </c>
      <c r="EZX67" s="132" t="s">
        <v>113</v>
      </c>
      <c r="EZY67" s="133">
        <v>45845</v>
      </c>
      <c r="EZZ67" s="128" t="s">
        <v>41</v>
      </c>
      <c r="FAA67" s="207"/>
      <c r="FAB67" s="134" t="s">
        <v>136</v>
      </c>
      <c r="FAC67" s="205"/>
      <c r="FAD67" s="206"/>
      <c r="FAE67" s="128" t="s">
        <v>24</v>
      </c>
      <c r="FAF67" s="129">
        <v>8150</v>
      </c>
      <c r="FAG67" s="137">
        <v>85</v>
      </c>
      <c r="FAH67" s="138">
        <v>215</v>
      </c>
      <c r="FAI67" s="138">
        <v>75</v>
      </c>
      <c r="FAJ67" s="137">
        <v>150</v>
      </c>
      <c r="FAK67" s="139">
        <f>SUM(FAF67:FAJ67)</f>
        <v>8675</v>
      </c>
      <c r="FAL67" s="137">
        <v>200</v>
      </c>
      <c r="FAM67" s="139">
        <f>SUM(FAK67:FAL67)</f>
        <v>8875</v>
      </c>
      <c r="FAN67" s="132" t="s">
        <v>113</v>
      </c>
      <c r="FAO67" s="133">
        <v>45845</v>
      </c>
      <c r="FAP67" s="128" t="s">
        <v>41</v>
      </c>
      <c r="FAQ67" s="207"/>
      <c r="FAR67" s="134" t="s">
        <v>136</v>
      </c>
      <c r="FAS67" s="205"/>
      <c r="FAT67" s="206"/>
      <c r="FAU67" s="128" t="s">
        <v>24</v>
      </c>
      <c r="FAV67" s="129">
        <v>8150</v>
      </c>
      <c r="FAW67" s="137">
        <v>85</v>
      </c>
      <c r="FAX67" s="138">
        <v>215</v>
      </c>
      <c r="FAY67" s="138">
        <v>75</v>
      </c>
      <c r="FAZ67" s="137">
        <v>150</v>
      </c>
      <c r="FBA67" s="139">
        <f>SUM(FAV67:FAZ67)</f>
        <v>8675</v>
      </c>
      <c r="FBB67" s="137">
        <v>200</v>
      </c>
      <c r="FBC67" s="139">
        <f>SUM(FBA67:FBB67)</f>
        <v>8875</v>
      </c>
      <c r="FBD67" s="132" t="s">
        <v>113</v>
      </c>
      <c r="FBE67" s="133">
        <v>45845</v>
      </c>
      <c r="FBF67" s="128" t="s">
        <v>41</v>
      </c>
      <c r="FBG67" s="207"/>
      <c r="FBH67" s="134" t="s">
        <v>136</v>
      </c>
      <c r="FBI67" s="205"/>
      <c r="FBJ67" s="206"/>
      <c r="FBK67" s="128" t="s">
        <v>24</v>
      </c>
      <c r="FBL67" s="129">
        <v>8150</v>
      </c>
      <c r="FBM67" s="137">
        <v>85</v>
      </c>
      <c r="FBN67" s="138">
        <v>215</v>
      </c>
      <c r="FBO67" s="138">
        <v>75</v>
      </c>
      <c r="FBP67" s="137">
        <v>150</v>
      </c>
      <c r="FBQ67" s="139">
        <f>SUM(FBL67:FBP67)</f>
        <v>8675</v>
      </c>
      <c r="FBR67" s="137">
        <v>200</v>
      </c>
      <c r="FBS67" s="139">
        <f>SUM(FBQ67:FBR67)</f>
        <v>8875</v>
      </c>
      <c r="FBT67" s="132" t="s">
        <v>113</v>
      </c>
      <c r="FBU67" s="133">
        <v>45845</v>
      </c>
      <c r="FBV67" s="128" t="s">
        <v>41</v>
      </c>
      <c r="FBW67" s="207"/>
      <c r="FBX67" s="134" t="s">
        <v>136</v>
      </c>
      <c r="FBY67" s="205"/>
      <c r="FBZ67" s="206"/>
      <c r="FCA67" s="128" t="s">
        <v>24</v>
      </c>
      <c r="FCB67" s="129">
        <v>8150</v>
      </c>
      <c r="FCC67" s="137">
        <v>85</v>
      </c>
      <c r="FCD67" s="138">
        <v>215</v>
      </c>
      <c r="FCE67" s="138">
        <v>75</v>
      </c>
      <c r="FCF67" s="137">
        <v>150</v>
      </c>
      <c r="FCG67" s="139">
        <f>SUM(FCB67:FCF67)</f>
        <v>8675</v>
      </c>
      <c r="FCH67" s="137">
        <v>200</v>
      </c>
      <c r="FCI67" s="139">
        <f>SUM(FCG67:FCH67)</f>
        <v>8875</v>
      </c>
      <c r="FCJ67" s="132" t="s">
        <v>113</v>
      </c>
      <c r="FCK67" s="133">
        <v>45845</v>
      </c>
      <c r="FCL67" s="128" t="s">
        <v>41</v>
      </c>
      <c r="FCM67" s="207"/>
      <c r="FCN67" s="134" t="s">
        <v>136</v>
      </c>
      <c r="FCO67" s="205"/>
      <c r="FCP67" s="206"/>
      <c r="FCQ67" s="128" t="s">
        <v>24</v>
      </c>
      <c r="FCR67" s="129">
        <v>8150</v>
      </c>
      <c r="FCS67" s="137">
        <v>85</v>
      </c>
      <c r="FCT67" s="138">
        <v>215</v>
      </c>
      <c r="FCU67" s="138">
        <v>75</v>
      </c>
      <c r="FCV67" s="137">
        <v>150</v>
      </c>
      <c r="FCW67" s="139">
        <f>SUM(FCR67:FCV67)</f>
        <v>8675</v>
      </c>
      <c r="FCX67" s="137">
        <v>200</v>
      </c>
      <c r="FCY67" s="139">
        <f>SUM(FCW67:FCX67)</f>
        <v>8875</v>
      </c>
      <c r="FCZ67" s="132" t="s">
        <v>113</v>
      </c>
      <c r="FDA67" s="133">
        <v>45845</v>
      </c>
      <c r="FDB67" s="128" t="s">
        <v>41</v>
      </c>
      <c r="FDC67" s="207"/>
      <c r="FDD67" s="134" t="s">
        <v>136</v>
      </c>
      <c r="FDE67" s="205"/>
      <c r="FDF67" s="206"/>
      <c r="FDG67" s="128" t="s">
        <v>24</v>
      </c>
      <c r="FDH67" s="129">
        <v>8150</v>
      </c>
      <c r="FDI67" s="137">
        <v>85</v>
      </c>
      <c r="FDJ67" s="138">
        <v>215</v>
      </c>
      <c r="FDK67" s="138">
        <v>75</v>
      </c>
      <c r="FDL67" s="137">
        <v>150</v>
      </c>
      <c r="FDM67" s="139">
        <f>SUM(FDH67:FDL67)</f>
        <v>8675</v>
      </c>
      <c r="FDN67" s="137">
        <v>200</v>
      </c>
      <c r="FDO67" s="139">
        <f>SUM(FDM67:FDN67)</f>
        <v>8875</v>
      </c>
      <c r="FDP67" s="132" t="s">
        <v>113</v>
      </c>
      <c r="FDQ67" s="133">
        <v>45845</v>
      </c>
      <c r="FDR67" s="128" t="s">
        <v>41</v>
      </c>
      <c r="FDS67" s="207"/>
      <c r="FDT67" s="134" t="s">
        <v>136</v>
      </c>
      <c r="FDU67" s="205"/>
      <c r="FDV67" s="206"/>
      <c r="FDW67" s="128" t="s">
        <v>24</v>
      </c>
      <c r="FDX67" s="129">
        <v>8150</v>
      </c>
      <c r="FDY67" s="137">
        <v>85</v>
      </c>
      <c r="FDZ67" s="138">
        <v>215</v>
      </c>
      <c r="FEA67" s="138">
        <v>75</v>
      </c>
      <c r="FEB67" s="137">
        <v>150</v>
      </c>
      <c r="FEC67" s="139">
        <f>SUM(FDX67:FEB67)</f>
        <v>8675</v>
      </c>
      <c r="FED67" s="137">
        <v>200</v>
      </c>
      <c r="FEE67" s="139">
        <f>SUM(FEC67:FED67)</f>
        <v>8875</v>
      </c>
      <c r="FEF67" s="132" t="s">
        <v>113</v>
      </c>
      <c r="FEG67" s="133">
        <v>45845</v>
      </c>
      <c r="FEH67" s="128" t="s">
        <v>41</v>
      </c>
      <c r="FEI67" s="207"/>
      <c r="FEJ67" s="134" t="s">
        <v>136</v>
      </c>
      <c r="FEK67" s="205"/>
      <c r="FEL67" s="206"/>
      <c r="FEM67" s="128" t="s">
        <v>24</v>
      </c>
      <c r="FEN67" s="129">
        <v>8150</v>
      </c>
      <c r="FEO67" s="137">
        <v>85</v>
      </c>
      <c r="FEP67" s="138">
        <v>215</v>
      </c>
      <c r="FEQ67" s="138">
        <v>75</v>
      </c>
      <c r="FER67" s="137">
        <v>150</v>
      </c>
      <c r="FES67" s="139">
        <f>SUM(FEN67:FER67)</f>
        <v>8675</v>
      </c>
      <c r="FET67" s="137">
        <v>200</v>
      </c>
      <c r="FEU67" s="139">
        <f>SUM(FES67:FET67)</f>
        <v>8875</v>
      </c>
      <c r="FEV67" s="132" t="s">
        <v>113</v>
      </c>
      <c r="FEW67" s="133">
        <v>45845</v>
      </c>
      <c r="FEX67" s="128" t="s">
        <v>41</v>
      </c>
      <c r="FEY67" s="207"/>
      <c r="FEZ67" s="134" t="s">
        <v>136</v>
      </c>
      <c r="FFA67" s="205"/>
      <c r="FFB67" s="206"/>
      <c r="FFC67" s="128" t="s">
        <v>24</v>
      </c>
      <c r="FFD67" s="129">
        <v>8150</v>
      </c>
      <c r="FFE67" s="137">
        <v>85</v>
      </c>
      <c r="FFF67" s="138">
        <v>215</v>
      </c>
      <c r="FFG67" s="138">
        <v>75</v>
      </c>
      <c r="FFH67" s="137">
        <v>150</v>
      </c>
      <c r="FFI67" s="139">
        <f>SUM(FFD67:FFH67)</f>
        <v>8675</v>
      </c>
      <c r="FFJ67" s="137">
        <v>200</v>
      </c>
      <c r="FFK67" s="139">
        <f>SUM(FFI67:FFJ67)</f>
        <v>8875</v>
      </c>
      <c r="FFL67" s="132" t="s">
        <v>113</v>
      </c>
      <c r="FFM67" s="133">
        <v>45845</v>
      </c>
      <c r="FFN67" s="128" t="s">
        <v>41</v>
      </c>
      <c r="FFO67" s="207"/>
      <c r="FFP67" s="134" t="s">
        <v>136</v>
      </c>
      <c r="FFQ67" s="205"/>
      <c r="FFR67" s="206"/>
      <c r="FFS67" s="128" t="s">
        <v>24</v>
      </c>
      <c r="FFT67" s="129">
        <v>8150</v>
      </c>
      <c r="FFU67" s="137">
        <v>85</v>
      </c>
      <c r="FFV67" s="138">
        <v>215</v>
      </c>
      <c r="FFW67" s="138">
        <v>75</v>
      </c>
      <c r="FFX67" s="137">
        <v>150</v>
      </c>
      <c r="FFY67" s="139">
        <f>SUM(FFT67:FFX67)</f>
        <v>8675</v>
      </c>
      <c r="FFZ67" s="137">
        <v>200</v>
      </c>
      <c r="FGA67" s="139">
        <f>SUM(FFY67:FFZ67)</f>
        <v>8875</v>
      </c>
      <c r="FGB67" s="132" t="s">
        <v>113</v>
      </c>
      <c r="FGC67" s="133">
        <v>45845</v>
      </c>
      <c r="FGD67" s="128" t="s">
        <v>41</v>
      </c>
      <c r="FGE67" s="207"/>
      <c r="FGF67" s="134" t="s">
        <v>136</v>
      </c>
      <c r="FGG67" s="205"/>
      <c r="FGH67" s="206"/>
      <c r="FGI67" s="128" t="s">
        <v>24</v>
      </c>
      <c r="FGJ67" s="129">
        <v>8150</v>
      </c>
      <c r="FGK67" s="137">
        <v>85</v>
      </c>
      <c r="FGL67" s="138">
        <v>215</v>
      </c>
      <c r="FGM67" s="138">
        <v>75</v>
      </c>
      <c r="FGN67" s="137">
        <v>150</v>
      </c>
      <c r="FGO67" s="139">
        <f>SUM(FGJ67:FGN67)</f>
        <v>8675</v>
      </c>
      <c r="FGP67" s="137">
        <v>200</v>
      </c>
      <c r="FGQ67" s="139">
        <f>SUM(FGO67:FGP67)</f>
        <v>8875</v>
      </c>
      <c r="FGR67" s="132" t="s">
        <v>113</v>
      </c>
      <c r="FGS67" s="133">
        <v>45845</v>
      </c>
      <c r="FGT67" s="128" t="s">
        <v>41</v>
      </c>
      <c r="FGU67" s="207"/>
      <c r="FGV67" s="134" t="s">
        <v>136</v>
      </c>
      <c r="FGW67" s="205"/>
      <c r="FGX67" s="206"/>
      <c r="FGY67" s="128" t="s">
        <v>24</v>
      </c>
      <c r="FGZ67" s="129">
        <v>8150</v>
      </c>
      <c r="FHA67" s="137">
        <v>85</v>
      </c>
      <c r="FHB67" s="138">
        <v>215</v>
      </c>
      <c r="FHC67" s="138">
        <v>75</v>
      </c>
      <c r="FHD67" s="137">
        <v>150</v>
      </c>
      <c r="FHE67" s="139">
        <f>SUM(FGZ67:FHD67)</f>
        <v>8675</v>
      </c>
      <c r="FHF67" s="137">
        <v>200</v>
      </c>
      <c r="FHG67" s="139">
        <f>SUM(FHE67:FHF67)</f>
        <v>8875</v>
      </c>
      <c r="FHH67" s="132" t="s">
        <v>113</v>
      </c>
      <c r="FHI67" s="133">
        <v>45845</v>
      </c>
      <c r="FHJ67" s="128" t="s">
        <v>41</v>
      </c>
      <c r="FHK67" s="207"/>
      <c r="FHL67" s="134" t="s">
        <v>136</v>
      </c>
      <c r="FHM67" s="205"/>
      <c r="FHN67" s="206"/>
      <c r="FHO67" s="128" t="s">
        <v>24</v>
      </c>
      <c r="FHP67" s="129">
        <v>8150</v>
      </c>
      <c r="FHQ67" s="137">
        <v>85</v>
      </c>
      <c r="FHR67" s="138">
        <v>215</v>
      </c>
      <c r="FHS67" s="138">
        <v>75</v>
      </c>
      <c r="FHT67" s="137">
        <v>150</v>
      </c>
      <c r="FHU67" s="139">
        <f>SUM(FHP67:FHT67)</f>
        <v>8675</v>
      </c>
      <c r="FHV67" s="137">
        <v>200</v>
      </c>
      <c r="FHW67" s="139">
        <f>SUM(FHU67:FHV67)</f>
        <v>8875</v>
      </c>
      <c r="FHX67" s="132" t="s">
        <v>113</v>
      </c>
      <c r="FHY67" s="133">
        <v>45845</v>
      </c>
      <c r="FHZ67" s="128" t="s">
        <v>41</v>
      </c>
      <c r="FIA67" s="207"/>
      <c r="FIB67" s="134" t="s">
        <v>136</v>
      </c>
      <c r="FIC67" s="205"/>
      <c r="FID67" s="206"/>
      <c r="FIE67" s="128" t="s">
        <v>24</v>
      </c>
      <c r="FIF67" s="129">
        <v>8150</v>
      </c>
      <c r="FIG67" s="137">
        <v>85</v>
      </c>
      <c r="FIH67" s="138">
        <v>215</v>
      </c>
      <c r="FII67" s="138">
        <v>75</v>
      </c>
      <c r="FIJ67" s="137">
        <v>150</v>
      </c>
      <c r="FIK67" s="139">
        <f>SUM(FIF67:FIJ67)</f>
        <v>8675</v>
      </c>
      <c r="FIL67" s="137">
        <v>200</v>
      </c>
      <c r="FIM67" s="139">
        <f>SUM(FIK67:FIL67)</f>
        <v>8875</v>
      </c>
      <c r="FIN67" s="132" t="s">
        <v>113</v>
      </c>
      <c r="FIO67" s="133">
        <v>45845</v>
      </c>
      <c r="FIP67" s="128" t="s">
        <v>41</v>
      </c>
      <c r="FIQ67" s="207"/>
      <c r="FIR67" s="134" t="s">
        <v>136</v>
      </c>
      <c r="FIS67" s="205"/>
      <c r="FIT67" s="206"/>
      <c r="FIU67" s="128" t="s">
        <v>24</v>
      </c>
      <c r="FIV67" s="129">
        <v>8150</v>
      </c>
      <c r="FIW67" s="137">
        <v>85</v>
      </c>
      <c r="FIX67" s="138">
        <v>215</v>
      </c>
      <c r="FIY67" s="138">
        <v>75</v>
      </c>
      <c r="FIZ67" s="137">
        <v>150</v>
      </c>
      <c r="FJA67" s="139">
        <f>SUM(FIV67:FIZ67)</f>
        <v>8675</v>
      </c>
      <c r="FJB67" s="137">
        <v>200</v>
      </c>
      <c r="FJC67" s="139">
        <f>SUM(FJA67:FJB67)</f>
        <v>8875</v>
      </c>
      <c r="FJD67" s="132" t="s">
        <v>113</v>
      </c>
      <c r="FJE67" s="133">
        <v>45845</v>
      </c>
      <c r="FJF67" s="128" t="s">
        <v>41</v>
      </c>
      <c r="FJG67" s="207"/>
      <c r="FJH67" s="134" t="s">
        <v>136</v>
      </c>
      <c r="FJI67" s="205"/>
      <c r="FJJ67" s="206"/>
      <c r="FJK67" s="128" t="s">
        <v>24</v>
      </c>
      <c r="FJL67" s="129">
        <v>8150</v>
      </c>
      <c r="FJM67" s="137">
        <v>85</v>
      </c>
      <c r="FJN67" s="138">
        <v>215</v>
      </c>
      <c r="FJO67" s="138">
        <v>75</v>
      </c>
      <c r="FJP67" s="137">
        <v>150</v>
      </c>
      <c r="FJQ67" s="139">
        <f>SUM(FJL67:FJP67)</f>
        <v>8675</v>
      </c>
      <c r="FJR67" s="137">
        <v>200</v>
      </c>
      <c r="FJS67" s="139">
        <f>SUM(FJQ67:FJR67)</f>
        <v>8875</v>
      </c>
      <c r="FJT67" s="132" t="s">
        <v>113</v>
      </c>
      <c r="FJU67" s="133">
        <v>45845</v>
      </c>
      <c r="FJV67" s="128" t="s">
        <v>41</v>
      </c>
      <c r="FJW67" s="207"/>
      <c r="FJX67" s="134" t="s">
        <v>136</v>
      </c>
      <c r="FJY67" s="205"/>
      <c r="FJZ67" s="206"/>
      <c r="FKA67" s="128" t="s">
        <v>24</v>
      </c>
      <c r="FKB67" s="129">
        <v>8150</v>
      </c>
      <c r="FKC67" s="137">
        <v>85</v>
      </c>
      <c r="FKD67" s="138">
        <v>215</v>
      </c>
      <c r="FKE67" s="138">
        <v>75</v>
      </c>
      <c r="FKF67" s="137">
        <v>150</v>
      </c>
      <c r="FKG67" s="139">
        <f>SUM(FKB67:FKF67)</f>
        <v>8675</v>
      </c>
      <c r="FKH67" s="137">
        <v>200</v>
      </c>
      <c r="FKI67" s="139">
        <f>SUM(FKG67:FKH67)</f>
        <v>8875</v>
      </c>
      <c r="FKJ67" s="132" t="s">
        <v>113</v>
      </c>
      <c r="FKK67" s="133">
        <v>45845</v>
      </c>
      <c r="FKL67" s="128" t="s">
        <v>41</v>
      </c>
      <c r="FKM67" s="207"/>
      <c r="FKN67" s="134" t="s">
        <v>136</v>
      </c>
      <c r="FKO67" s="205"/>
      <c r="FKP67" s="206"/>
      <c r="FKQ67" s="128" t="s">
        <v>24</v>
      </c>
      <c r="FKR67" s="129">
        <v>8150</v>
      </c>
      <c r="FKS67" s="137">
        <v>85</v>
      </c>
      <c r="FKT67" s="138">
        <v>215</v>
      </c>
      <c r="FKU67" s="138">
        <v>75</v>
      </c>
      <c r="FKV67" s="137">
        <v>150</v>
      </c>
      <c r="FKW67" s="139">
        <f>SUM(FKR67:FKV67)</f>
        <v>8675</v>
      </c>
      <c r="FKX67" s="137">
        <v>200</v>
      </c>
      <c r="FKY67" s="139">
        <f>SUM(FKW67:FKX67)</f>
        <v>8875</v>
      </c>
      <c r="FKZ67" s="132" t="s">
        <v>113</v>
      </c>
      <c r="FLA67" s="133">
        <v>45845</v>
      </c>
      <c r="FLB67" s="128" t="s">
        <v>41</v>
      </c>
      <c r="FLC67" s="207"/>
      <c r="FLD67" s="134" t="s">
        <v>136</v>
      </c>
      <c r="FLE67" s="205"/>
      <c r="FLF67" s="206"/>
      <c r="FLG67" s="128" t="s">
        <v>24</v>
      </c>
      <c r="FLH67" s="129">
        <v>8150</v>
      </c>
      <c r="FLI67" s="137">
        <v>85</v>
      </c>
      <c r="FLJ67" s="138">
        <v>215</v>
      </c>
      <c r="FLK67" s="138">
        <v>75</v>
      </c>
      <c r="FLL67" s="137">
        <v>150</v>
      </c>
      <c r="FLM67" s="139">
        <f>SUM(FLH67:FLL67)</f>
        <v>8675</v>
      </c>
      <c r="FLN67" s="137">
        <v>200</v>
      </c>
      <c r="FLO67" s="139">
        <f>SUM(FLM67:FLN67)</f>
        <v>8875</v>
      </c>
      <c r="FLP67" s="132" t="s">
        <v>113</v>
      </c>
      <c r="FLQ67" s="133">
        <v>45845</v>
      </c>
      <c r="FLR67" s="128" t="s">
        <v>41</v>
      </c>
      <c r="FLS67" s="207"/>
      <c r="FLT67" s="134" t="s">
        <v>136</v>
      </c>
      <c r="FLU67" s="205"/>
      <c r="FLV67" s="206"/>
      <c r="FLW67" s="128" t="s">
        <v>24</v>
      </c>
      <c r="FLX67" s="129">
        <v>8150</v>
      </c>
      <c r="FLY67" s="137">
        <v>85</v>
      </c>
      <c r="FLZ67" s="138">
        <v>215</v>
      </c>
      <c r="FMA67" s="138">
        <v>75</v>
      </c>
      <c r="FMB67" s="137">
        <v>150</v>
      </c>
      <c r="FMC67" s="139">
        <f>SUM(FLX67:FMB67)</f>
        <v>8675</v>
      </c>
      <c r="FMD67" s="137">
        <v>200</v>
      </c>
      <c r="FME67" s="139">
        <f>SUM(FMC67:FMD67)</f>
        <v>8875</v>
      </c>
      <c r="FMF67" s="132" t="s">
        <v>113</v>
      </c>
      <c r="FMG67" s="133">
        <v>45845</v>
      </c>
      <c r="FMH67" s="128" t="s">
        <v>41</v>
      </c>
      <c r="FMI67" s="207"/>
      <c r="FMJ67" s="134" t="s">
        <v>136</v>
      </c>
      <c r="FMK67" s="205"/>
      <c r="FML67" s="206"/>
      <c r="FMM67" s="128" t="s">
        <v>24</v>
      </c>
      <c r="FMN67" s="129">
        <v>8150</v>
      </c>
      <c r="FMO67" s="137">
        <v>85</v>
      </c>
      <c r="FMP67" s="138">
        <v>215</v>
      </c>
      <c r="FMQ67" s="138">
        <v>75</v>
      </c>
      <c r="FMR67" s="137">
        <v>150</v>
      </c>
      <c r="FMS67" s="139">
        <f>SUM(FMN67:FMR67)</f>
        <v>8675</v>
      </c>
      <c r="FMT67" s="137">
        <v>200</v>
      </c>
      <c r="FMU67" s="139">
        <f>SUM(FMS67:FMT67)</f>
        <v>8875</v>
      </c>
      <c r="FMV67" s="132" t="s">
        <v>113</v>
      </c>
      <c r="FMW67" s="133">
        <v>45845</v>
      </c>
      <c r="FMX67" s="128" t="s">
        <v>41</v>
      </c>
      <c r="FMY67" s="207"/>
      <c r="FMZ67" s="134" t="s">
        <v>136</v>
      </c>
      <c r="FNA67" s="205"/>
      <c r="FNB67" s="206"/>
      <c r="FNC67" s="128" t="s">
        <v>24</v>
      </c>
      <c r="FND67" s="129">
        <v>8150</v>
      </c>
      <c r="FNE67" s="137">
        <v>85</v>
      </c>
      <c r="FNF67" s="138">
        <v>215</v>
      </c>
      <c r="FNG67" s="138">
        <v>75</v>
      </c>
      <c r="FNH67" s="137">
        <v>150</v>
      </c>
      <c r="FNI67" s="139">
        <f>SUM(FND67:FNH67)</f>
        <v>8675</v>
      </c>
      <c r="FNJ67" s="137">
        <v>200</v>
      </c>
      <c r="FNK67" s="139">
        <f>SUM(FNI67:FNJ67)</f>
        <v>8875</v>
      </c>
      <c r="FNL67" s="132" t="s">
        <v>113</v>
      </c>
      <c r="FNM67" s="133">
        <v>45845</v>
      </c>
      <c r="FNN67" s="128" t="s">
        <v>41</v>
      </c>
      <c r="FNO67" s="207"/>
      <c r="FNP67" s="134" t="s">
        <v>136</v>
      </c>
      <c r="FNQ67" s="205"/>
      <c r="FNR67" s="206"/>
      <c r="FNS67" s="128" t="s">
        <v>24</v>
      </c>
      <c r="FNT67" s="129">
        <v>8150</v>
      </c>
      <c r="FNU67" s="137">
        <v>85</v>
      </c>
      <c r="FNV67" s="138">
        <v>215</v>
      </c>
      <c r="FNW67" s="138">
        <v>75</v>
      </c>
      <c r="FNX67" s="137">
        <v>150</v>
      </c>
      <c r="FNY67" s="139">
        <f>SUM(FNT67:FNX67)</f>
        <v>8675</v>
      </c>
      <c r="FNZ67" s="137">
        <v>200</v>
      </c>
      <c r="FOA67" s="139">
        <f>SUM(FNY67:FNZ67)</f>
        <v>8875</v>
      </c>
      <c r="FOB67" s="132" t="s">
        <v>113</v>
      </c>
      <c r="FOC67" s="133">
        <v>45845</v>
      </c>
      <c r="FOD67" s="128" t="s">
        <v>41</v>
      </c>
      <c r="FOE67" s="207"/>
      <c r="FOF67" s="134" t="s">
        <v>136</v>
      </c>
      <c r="FOG67" s="205"/>
      <c r="FOH67" s="206"/>
      <c r="FOI67" s="128" t="s">
        <v>24</v>
      </c>
      <c r="FOJ67" s="129">
        <v>8150</v>
      </c>
      <c r="FOK67" s="137">
        <v>85</v>
      </c>
      <c r="FOL67" s="138">
        <v>215</v>
      </c>
      <c r="FOM67" s="138">
        <v>75</v>
      </c>
      <c r="FON67" s="137">
        <v>150</v>
      </c>
      <c r="FOO67" s="139">
        <f>SUM(FOJ67:FON67)</f>
        <v>8675</v>
      </c>
      <c r="FOP67" s="137">
        <v>200</v>
      </c>
      <c r="FOQ67" s="139">
        <f>SUM(FOO67:FOP67)</f>
        <v>8875</v>
      </c>
      <c r="FOR67" s="132" t="s">
        <v>113</v>
      </c>
      <c r="FOS67" s="133">
        <v>45845</v>
      </c>
      <c r="FOT67" s="128" t="s">
        <v>41</v>
      </c>
      <c r="FOU67" s="207"/>
      <c r="FOV67" s="134" t="s">
        <v>136</v>
      </c>
      <c r="FOW67" s="205"/>
      <c r="FOX67" s="206"/>
      <c r="FOY67" s="128" t="s">
        <v>24</v>
      </c>
      <c r="FOZ67" s="129">
        <v>8150</v>
      </c>
      <c r="FPA67" s="137">
        <v>85</v>
      </c>
      <c r="FPB67" s="138">
        <v>215</v>
      </c>
      <c r="FPC67" s="138">
        <v>75</v>
      </c>
      <c r="FPD67" s="137">
        <v>150</v>
      </c>
      <c r="FPE67" s="139">
        <f>SUM(FOZ67:FPD67)</f>
        <v>8675</v>
      </c>
      <c r="FPF67" s="137">
        <v>200</v>
      </c>
      <c r="FPG67" s="139">
        <f>SUM(FPE67:FPF67)</f>
        <v>8875</v>
      </c>
      <c r="FPH67" s="132" t="s">
        <v>113</v>
      </c>
      <c r="FPI67" s="133">
        <v>45845</v>
      </c>
      <c r="FPJ67" s="128" t="s">
        <v>41</v>
      </c>
      <c r="FPK67" s="207"/>
      <c r="FPL67" s="134" t="s">
        <v>136</v>
      </c>
      <c r="FPM67" s="205"/>
      <c r="FPN67" s="206"/>
      <c r="FPO67" s="128" t="s">
        <v>24</v>
      </c>
      <c r="FPP67" s="129">
        <v>8150</v>
      </c>
      <c r="FPQ67" s="137">
        <v>85</v>
      </c>
      <c r="FPR67" s="138">
        <v>215</v>
      </c>
      <c r="FPS67" s="138">
        <v>75</v>
      </c>
      <c r="FPT67" s="137">
        <v>150</v>
      </c>
      <c r="FPU67" s="139">
        <f>SUM(FPP67:FPT67)</f>
        <v>8675</v>
      </c>
      <c r="FPV67" s="137">
        <v>200</v>
      </c>
      <c r="FPW67" s="139">
        <f>SUM(FPU67:FPV67)</f>
        <v>8875</v>
      </c>
      <c r="FPX67" s="132" t="s">
        <v>113</v>
      </c>
      <c r="FPY67" s="133">
        <v>45845</v>
      </c>
      <c r="FPZ67" s="128" t="s">
        <v>41</v>
      </c>
      <c r="FQA67" s="207"/>
      <c r="FQB67" s="134" t="s">
        <v>136</v>
      </c>
      <c r="FQC67" s="205"/>
      <c r="FQD67" s="206"/>
      <c r="FQE67" s="128" t="s">
        <v>24</v>
      </c>
      <c r="FQF67" s="129">
        <v>8150</v>
      </c>
      <c r="FQG67" s="137">
        <v>85</v>
      </c>
      <c r="FQH67" s="138">
        <v>215</v>
      </c>
      <c r="FQI67" s="138">
        <v>75</v>
      </c>
      <c r="FQJ67" s="137">
        <v>150</v>
      </c>
      <c r="FQK67" s="139">
        <f>SUM(FQF67:FQJ67)</f>
        <v>8675</v>
      </c>
      <c r="FQL67" s="137">
        <v>200</v>
      </c>
      <c r="FQM67" s="139">
        <f>SUM(FQK67:FQL67)</f>
        <v>8875</v>
      </c>
      <c r="FQN67" s="132" t="s">
        <v>113</v>
      </c>
      <c r="FQO67" s="133">
        <v>45845</v>
      </c>
      <c r="FQP67" s="128" t="s">
        <v>41</v>
      </c>
      <c r="FQQ67" s="207"/>
      <c r="FQR67" s="134" t="s">
        <v>136</v>
      </c>
      <c r="FQS67" s="205"/>
      <c r="FQT67" s="206"/>
      <c r="FQU67" s="128" t="s">
        <v>24</v>
      </c>
      <c r="FQV67" s="129">
        <v>8150</v>
      </c>
      <c r="FQW67" s="137">
        <v>85</v>
      </c>
      <c r="FQX67" s="138">
        <v>215</v>
      </c>
      <c r="FQY67" s="138">
        <v>75</v>
      </c>
      <c r="FQZ67" s="137">
        <v>150</v>
      </c>
      <c r="FRA67" s="139">
        <f>SUM(FQV67:FQZ67)</f>
        <v>8675</v>
      </c>
      <c r="FRB67" s="137">
        <v>200</v>
      </c>
      <c r="FRC67" s="139">
        <f>SUM(FRA67:FRB67)</f>
        <v>8875</v>
      </c>
      <c r="FRD67" s="132" t="s">
        <v>113</v>
      </c>
      <c r="FRE67" s="133">
        <v>45845</v>
      </c>
      <c r="FRF67" s="128" t="s">
        <v>41</v>
      </c>
      <c r="FRG67" s="207"/>
      <c r="FRH67" s="134" t="s">
        <v>136</v>
      </c>
      <c r="FRI67" s="205"/>
      <c r="FRJ67" s="206"/>
      <c r="FRK67" s="128" t="s">
        <v>24</v>
      </c>
      <c r="FRL67" s="129">
        <v>8150</v>
      </c>
      <c r="FRM67" s="137">
        <v>85</v>
      </c>
      <c r="FRN67" s="138">
        <v>215</v>
      </c>
      <c r="FRO67" s="138">
        <v>75</v>
      </c>
      <c r="FRP67" s="137">
        <v>150</v>
      </c>
      <c r="FRQ67" s="139">
        <f>SUM(FRL67:FRP67)</f>
        <v>8675</v>
      </c>
      <c r="FRR67" s="137">
        <v>200</v>
      </c>
      <c r="FRS67" s="139">
        <f>SUM(FRQ67:FRR67)</f>
        <v>8875</v>
      </c>
      <c r="FRT67" s="132" t="s">
        <v>113</v>
      </c>
      <c r="FRU67" s="133">
        <v>45845</v>
      </c>
      <c r="FRV67" s="128" t="s">
        <v>41</v>
      </c>
      <c r="FRW67" s="207"/>
      <c r="FRX67" s="134" t="s">
        <v>136</v>
      </c>
      <c r="FRY67" s="205"/>
      <c r="FRZ67" s="206"/>
      <c r="FSA67" s="128" t="s">
        <v>24</v>
      </c>
      <c r="FSB67" s="129">
        <v>8150</v>
      </c>
      <c r="FSC67" s="137">
        <v>85</v>
      </c>
      <c r="FSD67" s="138">
        <v>215</v>
      </c>
      <c r="FSE67" s="138">
        <v>75</v>
      </c>
      <c r="FSF67" s="137">
        <v>150</v>
      </c>
      <c r="FSG67" s="139">
        <f>SUM(FSB67:FSF67)</f>
        <v>8675</v>
      </c>
      <c r="FSH67" s="137">
        <v>200</v>
      </c>
      <c r="FSI67" s="139">
        <f>SUM(FSG67:FSH67)</f>
        <v>8875</v>
      </c>
      <c r="FSJ67" s="132" t="s">
        <v>113</v>
      </c>
      <c r="FSK67" s="133">
        <v>45845</v>
      </c>
      <c r="FSL67" s="128" t="s">
        <v>41</v>
      </c>
      <c r="FSM67" s="207"/>
      <c r="FSN67" s="134" t="s">
        <v>136</v>
      </c>
      <c r="FSO67" s="205"/>
      <c r="FSP67" s="206"/>
      <c r="FSQ67" s="128" t="s">
        <v>24</v>
      </c>
      <c r="FSR67" s="129">
        <v>8150</v>
      </c>
      <c r="FSS67" s="137">
        <v>85</v>
      </c>
      <c r="FST67" s="138">
        <v>215</v>
      </c>
      <c r="FSU67" s="138">
        <v>75</v>
      </c>
      <c r="FSV67" s="137">
        <v>150</v>
      </c>
      <c r="FSW67" s="139">
        <f>SUM(FSR67:FSV67)</f>
        <v>8675</v>
      </c>
      <c r="FSX67" s="137">
        <v>200</v>
      </c>
      <c r="FSY67" s="139">
        <f>SUM(FSW67:FSX67)</f>
        <v>8875</v>
      </c>
      <c r="FSZ67" s="132" t="s">
        <v>113</v>
      </c>
      <c r="FTA67" s="133">
        <v>45845</v>
      </c>
      <c r="FTB67" s="128" t="s">
        <v>41</v>
      </c>
      <c r="FTC67" s="207"/>
      <c r="FTD67" s="134" t="s">
        <v>136</v>
      </c>
      <c r="FTE67" s="205"/>
      <c r="FTF67" s="206"/>
      <c r="FTG67" s="128" t="s">
        <v>24</v>
      </c>
      <c r="FTH67" s="129">
        <v>8150</v>
      </c>
      <c r="FTI67" s="137">
        <v>85</v>
      </c>
      <c r="FTJ67" s="138">
        <v>215</v>
      </c>
      <c r="FTK67" s="138">
        <v>75</v>
      </c>
      <c r="FTL67" s="137">
        <v>150</v>
      </c>
      <c r="FTM67" s="139">
        <f>SUM(FTH67:FTL67)</f>
        <v>8675</v>
      </c>
      <c r="FTN67" s="137">
        <v>200</v>
      </c>
      <c r="FTO67" s="139">
        <f>SUM(FTM67:FTN67)</f>
        <v>8875</v>
      </c>
      <c r="FTP67" s="132" t="s">
        <v>113</v>
      </c>
      <c r="FTQ67" s="133">
        <v>45845</v>
      </c>
      <c r="FTR67" s="128" t="s">
        <v>41</v>
      </c>
      <c r="FTS67" s="207"/>
      <c r="FTT67" s="134" t="s">
        <v>136</v>
      </c>
      <c r="FTU67" s="205"/>
      <c r="FTV67" s="206"/>
      <c r="FTW67" s="128" t="s">
        <v>24</v>
      </c>
      <c r="FTX67" s="129">
        <v>8150</v>
      </c>
      <c r="FTY67" s="137">
        <v>85</v>
      </c>
      <c r="FTZ67" s="138">
        <v>215</v>
      </c>
      <c r="FUA67" s="138">
        <v>75</v>
      </c>
      <c r="FUB67" s="137">
        <v>150</v>
      </c>
      <c r="FUC67" s="139">
        <f>SUM(FTX67:FUB67)</f>
        <v>8675</v>
      </c>
      <c r="FUD67" s="137">
        <v>200</v>
      </c>
      <c r="FUE67" s="139">
        <f>SUM(FUC67:FUD67)</f>
        <v>8875</v>
      </c>
      <c r="FUF67" s="132" t="s">
        <v>113</v>
      </c>
      <c r="FUG67" s="133">
        <v>45845</v>
      </c>
      <c r="FUH67" s="128" t="s">
        <v>41</v>
      </c>
      <c r="FUI67" s="207"/>
      <c r="FUJ67" s="134" t="s">
        <v>136</v>
      </c>
      <c r="FUK67" s="205"/>
      <c r="FUL67" s="206"/>
      <c r="FUM67" s="128" t="s">
        <v>24</v>
      </c>
      <c r="FUN67" s="129">
        <v>8150</v>
      </c>
      <c r="FUO67" s="137">
        <v>85</v>
      </c>
      <c r="FUP67" s="138">
        <v>215</v>
      </c>
      <c r="FUQ67" s="138">
        <v>75</v>
      </c>
      <c r="FUR67" s="137">
        <v>150</v>
      </c>
      <c r="FUS67" s="139">
        <f>SUM(FUN67:FUR67)</f>
        <v>8675</v>
      </c>
      <c r="FUT67" s="137">
        <v>200</v>
      </c>
      <c r="FUU67" s="139">
        <f>SUM(FUS67:FUT67)</f>
        <v>8875</v>
      </c>
      <c r="FUV67" s="132" t="s">
        <v>113</v>
      </c>
      <c r="FUW67" s="133">
        <v>45845</v>
      </c>
      <c r="FUX67" s="128" t="s">
        <v>41</v>
      </c>
      <c r="FUY67" s="207"/>
      <c r="FUZ67" s="134" t="s">
        <v>136</v>
      </c>
      <c r="FVA67" s="205"/>
      <c r="FVB67" s="206"/>
      <c r="FVC67" s="128" t="s">
        <v>24</v>
      </c>
      <c r="FVD67" s="129">
        <v>8150</v>
      </c>
      <c r="FVE67" s="137">
        <v>85</v>
      </c>
      <c r="FVF67" s="138">
        <v>215</v>
      </c>
      <c r="FVG67" s="138">
        <v>75</v>
      </c>
      <c r="FVH67" s="137">
        <v>150</v>
      </c>
      <c r="FVI67" s="139">
        <f>SUM(FVD67:FVH67)</f>
        <v>8675</v>
      </c>
      <c r="FVJ67" s="137">
        <v>200</v>
      </c>
      <c r="FVK67" s="139">
        <f>SUM(FVI67:FVJ67)</f>
        <v>8875</v>
      </c>
      <c r="FVL67" s="132" t="s">
        <v>113</v>
      </c>
      <c r="FVM67" s="133">
        <v>45845</v>
      </c>
      <c r="FVN67" s="128" t="s">
        <v>41</v>
      </c>
      <c r="FVO67" s="207"/>
      <c r="FVP67" s="134" t="s">
        <v>136</v>
      </c>
      <c r="FVQ67" s="205"/>
      <c r="FVR67" s="206"/>
      <c r="FVS67" s="128" t="s">
        <v>24</v>
      </c>
      <c r="FVT67" s="129">
        <v>8150</v>
      </c>
      <c r="FVU67" s="137">
        <v>85</v>
      </c>
      <c r="FVV67" s="138">
        <v>215</v>
      </c>
      <c r="FVW67" s="138">
        <v>75</v>
      </c>
      <c r="FVX67" s="137">
        <v>150</v>
      </c>
      <c r="FVY67" s="139">
        <f>SUM(FVT67:FVX67)</f>
        <v>8675</v>
      </c>
      <c r="FVZ67" s="137">
        <v>200</v>
      </c>
      <c r="FWA67" s="139">
        <f>SUM(FVY67:FVZ67)</f>
        <v>8875</v>
      </c>
      <c r="FWB67" s="132" t="s">
        <v>113</v>
      </c>
      <c r="FWC67" s="133">
        <v>45845</v>
      </c>
      <c r="FWD67" s="128" t="s">
        <v>41</v>
      </c>
      <c r="FWE67" s="207"/>
      <c r="FWF67" s="134" t="s">
        <v>136</v>
      </c>
      <c r="FWG67" s="205"/>
      <c r="FWH67" s="206"/>
      <c r="FWI67" s="128" t="s">
        <v>24</v>
      </c>
      <c r="FWJ67" s="129">
        <v>8150</v>
      </c>
      <c r="FWK67" s="137">
        <v>85</v>
      </c>
      <c r="FWL67" s="138">
        <v>215</v>
      </c>
      <c r="FWM67" s="138">
        <v>75</v>
      </c>
      <c r="FWN67" s="137">
        <v>150</v>
      </c>
      <c r="FWO67" s="139">
        <f>SUM(FWJ67:FWN67)</f>
        <v>8675</v>
      </c>
      <c r="FWP67" s="137">
        <v>200</v>
      </c>
      <c r="FWQ67" s="139">
        <f>SUM(FWO67:FWP67)</f>
        <v>8875</v>
      </c>
      <c r="FWR67" s="132" t="s">
        <v>113</v>
      </c>
      <c r="FWS67" s="133">
        <v>45845</v>
      </c>
      <c r="FWT67" s="128" t="s">
        <v>41</v>
      </c>
      <c r="FWU67" s="207"/>
      <c r="FWV67" s="134" t="s">
        <v>136</v>
      </c>
      <c r="FWW67" s="205"/>
      <c r="FWX67" s="206"/>
      <c r="FWY67" s="128" t="s">
        <v>24</v>
      </c>
      <c r="FWZ67" s="129">
        <v>8150</v>
      </c>
      <c r="FXA67" s="137">
        <v>85</v>
      </c>
      <c r="FXB67" s="138">
        <v>215</v>
      </c>
      <c r="FXC67" s="138">
        <v>75</v>
      </c>
      <c r="FXD67" s="137">
        <v>150</v>
      </c>
      <c r="FXE67" s="139">
        <f>SUM(FWZ67:FXD67)</f>
        <v>8675</v>
      </c>
      <c r="FXF67" s="137">
        <v>200</v>
      </c>
      <c r="FXG67" s="139">
        <f>SUM(FXE67:FXF67)</f>
        <v>8875</v>
      </c>
      <c r="FXH67" s="132" t="s">
        <v>113</v>
      </c>
      <c r="FXI67" s="133">
        <v>45845</v>
      </c>
      <c r="FXJ67" s="128" t="s">
        <v>41</v>
      </c>
      <c r="FXK67" s="207"/>
      <c r="FXL67" s="134" t="s">
        <v>136</v>
      </c>
      <c r="FXM67" s="205"/>
      <c r="FXN67" s="206"/>
      <c r="FXO67" s="128" t="s">
        <v>24</v>
      </c>
      <c r="FXP67" s="129">
        <v>8150</v>
      </c>
      <c r="FXQ67" s="137">
        <v>85</v>
      </c>
      <c r="FXR67" s="138">
        <v>215</v>
      </c>
      <c r="FXS67" s="138">
        <v>75</v>
      </c>
      <c r="FXT67" s="137">
        <v>150</v>
      </c>
      <c r="FXU67" s="139">
        <f>SUM(FXP67:FXT67)</f>
        <v>8675</v>
      </c>
      <c r="FXV67" s="137">
        <v>200</v>
      </c>
      <c r="FXW67" s="139">
        <f>SUM(FXU67:FXV67)</f>
        <v>8875</v>
      </c>
      <c r="FXX67" s="132" t="s">
        <v>113</v>
      </c>
      <c r="FXY67" s="133">
        <v>45845</v>
      </c>
      <c r="FXZ67" s="128" t="s">
        <v>41</v>
      </c>
      <c r="FYA67" s="207"/>
      <c r="FYB67" s="134" t="s">
        <v>136</v>
      </c>
      <c r="FYC67" s="205"/>
      <c r="FYD67" s="206"/>
      <c r="FYE67" s="128" t="s">
        <v>24</v>
      </c>
      <c r="FYF67" s="129">
        <v>8150</v>
      </c>
      <c r="FYG67" s="137">
        <v>85</v>
      </c>
      <c r="FYH67" s="138">
        <v>215</v>
      </c>
      <c r="FYI67" s="138">
        <v>75</v>
      </c>
      <c r="FYJ67" s="137">
        <v>150</v>
      </c>
      <c r="FYK67" s="139">
        <f>SUM(FYF67:FYJ67)</f>
        <v>8675</v>
      </c>
      <c r="FYL67" s="137">
        <v>200</v>
      </c>
      <c r="FYM67" s="139">
        <f>SUM(FYK67:FYL67)</f>
        <v>8875</v>
      </c>
      <c r="FYN67" s="132" t="s">
        <v>113</v>
      </c>
      <c r="FYO67" s="133">
        <v>45845</v>
      </c>
      <c r="FYP67" s="128" t="s">
        <v>41</v>
      </c>
      <c r="FYQ67" s="207"/>
      <c r="FYR67" s="134" t="s">
        <v>136</v>
      </c>
      <c r="FYS67" s="205"/>
      <c r="FYT67" s="206"/>
      <c r="FYU67" s="128" t="s">
        <v>24</v>
      </c>
      <c r="FYV67" s="129">
        <v>8150</v>
      </c>
      <c r="FYW67" s="137">
        <v>85</v>
      </c>
      <c r="FYX67" s="138">
        <v>215</v>
      </c>
      <c r="FYY67" s="138">
        <v>75</v>
      </c>
      <c r="FYZ67" s="137">
        <v>150</v>
      </c>
      <c r="FZA67" s="139">
        <f>SUM(FYV67:FYZ67)</f>
        <v>8675</v>
      </c>
      <c r="FZB67" s="137">
        <v>200</v>
      </c>
      <c r="FZC67" s="139">
        <f>SUM(FZA67:FZB67)</f>
        <v>8875</v>
      </c>
      <c r="FZD67" s="132" t="s">
        <v>113</v>
      </c>
      <c r="FZE67" s="133">
        <v>45845</v>
      </c>
      <c r="FZF67" s="128" t="s">
        <v>41</v>
      </c>
      <c r="FZG67" s="207"/>
      <c r="FZH67" s="134" t="s">
        <v>136</v>
      </c>
      <c r="FZI67" s="205"/>
      <c r="FZJ67" s="206"/>
      <c r="FZK67" s="128" t="s">
        <v>24</v>
      </c>
      <c r="FZL67" s="129">
        <v>8150</v>
      </c>
      <c r="FZM67" s="137">
        <v>85</v>
      </c>
      <c r="FZN67" s="138">
        <v>215</v>
      </c>
      <c r="FZO67" s="138">
        <v>75</v>
      </c>
      <c r="FZP67" s="137">
        <v>150</v>
      </c>
      <c r="FZQ67" s="139">
        <f>SUM(FZL67:FZP67)</f>
        <v>8675</v>
      </c>
      <c r="FZR67" s="137">
        <v>200</v>
      </c>
      <c r="FZS67" s="139">
        <f>SUM(FZQ67:FZR67)</f>
        <v>8875</v>
      </c>
      <c r="FZT67" s="132" t="s">
        <v>113</v>
      </c>
      <c r="FZU67" s="133">
        <v>45845</v>
      </c>
      <c r="FZV67" s="128" t="s">
        <v>41</v>
      </c>
      <c r="FZW67" s="207"/>
      <c r="FZX67" s="134" t="s">
        <v>136</v>
      </c>
      <c r="FZY67" s="205"/>
      <c r="FZZ67" s="206"/>
      <c r="GAA67" s="128" t="s">
        <v>24</v>
      </c>
      <c r="GAB67" s="129">
        <v>8150</v>
      </c>
      <c r="GAC67" s="137">
        <v>85</v>
      </c>
      <c r="GAD67" s="138">
        <v>215</v>
      </c>
      <c r="GAE67" s="138">
        <v>75</v>
      </c>
      <c r="GAF67" s="137">
        <v>150</v>
      </c>
      <c r="GAG67" s="139">
        <f>SUM(GAB67:GAF67)</f>
        <v>8675</v>
      </c>
      <c r="GAH67" s="137">
        <v>200</v>
      </c>
      <c r="GAI67" s="139">
        <f>SUM(GAG67:GAH67)</f>
        <v>8875</v>
      </c>
      <c r="GAJ67" s="132" t="s">
        <v>113</v>
      </c>
      <c r="GAK67" s="133">
        <v>45845</v>
      </c>
      <c r="GAL67" s="128" t="s">
        <v>41</v>
      </c>
      <c r="GAM67" s="207"/>
      <c r="GAN67" s="134" t="s">
        <v>136</v>
      </c>
      <c r="GAO67" s="205"/>
      <c r="GAP67" s="206"/>
      <c r="GAQ67" s="128" t="s">
        <v>24</v>
      </c>
      <c r="GAR67" s="129">
        <v>8150</v>
      </c>
      <c r="GAS67" s="137">
        <v>85</v>
      </c>
      <c r="GAT67" s="138">
        <v>215</v>
      </c>
      <c r="GAU67" s="138">
        <v>75</v>
      </c>
      <c r="GAV67" s="137">
        <v>150</v>
      </c>
      <c r="GAW67" s="139">
        <f>SUM(GAR67:GAV67)</f>
        <v>8675</v>
      </c>
      <c r="GAX67" s="137">
        <v>200</v>
      </c>
      <c r="GAY67" s="139">
        <f>SUM(GAW67:GAX67)</f>
        <v>8875</v>
      </c>
      <c r="GAZ67" s="132" t="s">
        <v>113</v>
      </c>
      <c r="GBA67" s="133">
        <v>45845</v>
      </c>
      <c r="GBB67" s="128" t="s">
        <v>41</v>
      </c>
      <c r="GBC67" s="207"/>
      <c r="GBD67" s="134" t="s">
        <v>136</v>
      </c>
      <c r="GBE67" s="205"/>
      <c r="GBF67" s="206"/>
      <c r="GBG67" s="128" t="s">
        <v>24</v>
      </c>
      <c r="GBH67" s="129">
        <v>8150</v>
      </c>
      <c r="GBI67" s="137">
        <v>85</v>
      </c>
      <c r="GBJ67" s="138">
        <v>215</v>
      </c>
      <c r="GBK67" s="138">
        <v>75</v>
      </c>
      <c r="GBL67" s="137">
        <v>150</v>
      </c>
      <c r="GBM67" s="139">
        <f>SUM(GBH67:GBL67)</f>
        <v>8675</v>
      </c>
      <c r="GBN67" s="137">
        <v>200</v>
      </c>
      <c r="GBO67" s="139">
        <f>SUM(GBM67:GBN67)</f>
        <v>8875</v>
      </c>
      <c r="GBP67" s="132" t="s">
        <v>113</v>
      </c>
      <c r="GBQ67" s="133">
        <v>45845</v>
      </c>
      <c r="GBR67" s="128" t="s">
        <v>41</v>
      </c>
      <c r="GBS67" s="207"/>
      <c r="GBT67" s="134" t="s">
        <v>136</v>
      </c>
      <c r="GBU67" s="205"/>
      <c r="GBV67" s="206"/>
      <c r="GBW67" s="128" t="s">
        <v>24</v>
      </c>
      <c r="GBX67" s="129">
        <v>8150</v>
      </c>
      <c r="GBY67" s="137">
        <v>85</v>
      </c>
      <c r="GBZ67" s="138">
        <v>215</v>
      </c>
      <c r="GCA67" s="138">
        <v>75</v>
      </c>
      <c r="GCB67" s="137">
        <v>150</v>
      </c>
      <c r="GCC67" s="139">
        <f>SUM(GBX67:GCB67)</f>
        <v>8675</v>
      </c>
      <c r="GCD67" s="137">
        <v>200</v>
      </c>
      <c r="GCE67" s="139">
        <f>SUM(GCC67:GCD67)</f>
        <v>8875</v>
      </c>
      <c r="GCF67" s="132" t="s">
        <v>113</v>
      </c>
      <c r="GCG67" s="133">
        <v>45845</v>
      </c>
      <c r="GCH67" s="128" t="s">
        <v>41</v>
      </c>
      <c r="GCI67" s="207"/>
      <c r="GCJ67" s="134" t="s">
        <v>136</v>
      </c>
      <c r="GCK67" s="205"/>
      <c r="GCL67" s="206"/>
      <c r="GCM67" s="128" t="s">
        <v>24</v>
      </c>
      <c r="GCN67" s="129">
        <v>8150</v>
      </c>
      <c r="GCO67" s="137">
        <v>85</v>
      </c>
      <c r="GCP67" s="138">
        <v>215</v>
      </c>
      <c r="GCQ67" s="138">
        <v>75</v>
      </c>
      <c r="GCR67" s="137">
        <v>150</v>
      </c>
      <c r="GCS67" s="139">
        <f>SUM(GCN67:GCR67)</f>
        <v>8675</v>
      </c>
      <c r="GCT67" s="137">
        <v>200</v>
      </c>
      <c r="GCU67" s="139">
        <f>SUM(GCS67:GCT67)</f>
        <v>8875</v>
      </c>
      <c r="GCV67" s="132" t="s">
        <v>113</v>
      </c>
      <c r="GCW67" s="133">
        <v>45845</v>
      </c>
      <c r="GCX67" s="128" t="s">
        <v>41</v>
      </c>
      <c r="GCY67" s="207"/>
      <c r="GCZ67" s="134" t="s">
        <v>136</v>
      </c>
      <c r="GDA67" s="205"/>
      <c r="GDB67" s="206"/>
      <c r="GDC67" s="128" t="s">
        <v>24</v>
      </c>
      <c r="GDD67" s="129">
        <v>8150</v>
      </c>
      <c r="GDE67" s="137">
        <v>85</v>
      </c>
      <c r="GDF67" s="138">
        <v>215</v>
      </c>
      <c r="GDG67" s="138">
        <v>75</v>
      </c>
      <c r="GDH67" s="137">
        <v>150</v>
      </c>
      <c r="GDI67" s="139">
        <f>SUM(GDD67:GDH67)</f>
        <v>8675</v>
      </c>
      <c r="GDJ67" s="137">
        <v>200</v>
      </c>
      <c r="GDK67" s="139">
        <f>SUM(GDI67:GDJ67)</f>
        <v>8875</v>
      </c>
      <c r="GDL67" s="132" t="s">
        <v>113</v>
      </c>
      <c r="GDM67" s="133">
        <v>45845</v>
      </c>
      <c r="GDN67" s="128" t="s">
        <v>41</v>
      </c>
      <c r="GDO67" s="207"/>
      <c r="GDP67" s="134" t="s">
        <v>136</v>
      </c>
      <c r="GDQ67" s="205"/>
      <c r="GDR67" s="206"/>
      <c r="GDS67" s="128" t="s">
        <v>24</v>
      </c>
      <c r="GDT67" s="129">
        <v>8150</v>
      </c>
      <c r="GDU67" s="137">
        <v>85</v>
      </c>
      <c r="GDV67" s="138">
        <v>215</v>
      </c>
      <c r="GDW67" s="138">
        <v>75</v>
      </c>
      <c r="GDX67" s="137">
        <v>150</v>
      </c>
      <c r="GDY67" s="139">
        <f>SUM(GDT67:GDX67)</f>
        <v>8675</v>
      </c>
      <c r="GDZ67" s="137">
        <v>200</v>
      </c>
      <c r="GEA67" s="139">
        <f>SUM(GDY67:GDZ67)</f>
        <v>8875</v>
      </c>
      <c r="GEB67" s="132" t="s">
        <v>113</v>
      </c>
      <c r="GEC67" s="133">
        <v>45845</v>
      </c>
      <c r="GED67" s="128" t="s">
        <v>41</v>
      </c>
      <c r="GEE67" s="207"/>
      <c r="GEF67" s="134" t="s">
        <v>136</v>
      </c>
      <c r="GEG67" s="205"/>
      <c r="GEH67" s="206"/>
      <c r="GEI67" s="128" t="s">
        <v>24</v>
      </c>
      <c r="GEJ67" s="129">
        <v>8150</v>
      </c>
      <c r="GEK67" s="137">
        <v>85</v>
      </c>
      <c r="GEL67" s="138">
        <v>215</v>
      </c>
      <c r="GEM67" s="138">
        <v>75</v>
      </c>
      <c r="GEN67" s="137">
        <v>150</v>
      </c>
      <c r="GEO67" s="139">
        <f>SUM(GEJ67:GEN67)</f>
        <v>8675</v>
      </c>
      <c r="GEP67" s="137">
        <v>200</v>
      </c>
      <c r="GEQ67" s="139">
        <f>SUM(GEO67:GEP67)</f>
        <v>8875</v>
      </c>
      <c r="GER67" s="132" t="s">
        <v>113</v>
      </c>
      <c r="GES67" s="133">
        <v>45845</v>
      </c>
      <c r="GET67" s="128" t="s">
        <v>41</v>
      </c>
      <c r="GEU67" s="207"/>
      <c r="GEV67" s="134" t="s">
        <v>136</v>
      </c>
      <c r="GEW67" s="205"/>
      <c r="GEX67" s="206"/>
      <c r="GEY67" s="128" t="s">
        <v>24</v>
      </c>
      <c r="GEZ67" s="129">
        <v>8150</v>
      </c>
      <c r="GFA67" s="137">
        <v>85</v>
      </c>
      <c r="GFB67" s="138">
        <v>215</v>
      </c>
      <c r="GFC67" s="138">
        <v>75</v>
      </c>
      <c r="GFD67" s="137">
        <v>150</v>
      </c>
      <c r="GFE67" s="139">
        <f>SUM(GEZ67:GFD67)</f>
        <v>8675</v>
      </c>
      <c r="GFF67" s="137">
        <v>200</v>
      </c>
      <c r="GFG67" s="139">
        <f>SUM(GFE67:GFF67)</f>
        <v>8875</v>
      </c>
      <c r="GFH67" s="132" t="s">
        <v>113</v>
      </c>
      <c r="GFI67" s="133">
        <v>45845</v>
      </c>
      <c r="GFJ67" s="128" t="s">
        <v>41</v>
      </c>
      <c r="GFK67" s="207"/>
      <c r="GFL67" s="134" t="s">
        <v>136</v>
      </c>
      <c r="GFM67" s="205"/>
      <c r="GFN67" s="206"/>
      <c r="GFO67" s="128" t="s">
        <v>24</v>
      </c>
      <c r="GFP67" s="129">
        <v>8150</v>
      </c>
      <c r="GFQ67" s="137">
        <v>85</v>
      </c>
      <c r="GFR67" s="138">
        <v>215</v>
      </c>
      <c r="GFS67" s="138">
        <v>75</v>
      </c>
      <c r="GFT67" s="137">
        <v>150</v>
      </c>
      <c r="GFU67" s="139">
        <f>SUM(GFP67:GFT67)</f>
        <v>8675</v>
      </c>
      <c r="GFV67" s="137">
        <v>200</v>
      </c>
      <c r="GFW67" s="139">
        <f>SUM(GFU67:GFV67)</f>
        <v>8875</v>
      </c>
      <c r="GFX67" s="132" t="s">
        <v>113</v>
      </c>
      <c r="GFY67" s="133">
        <v>45845</v>
      </c>
      <c r="GFZ67" s="128" t="s">
        <v>41</v>
      </c>
      <c r="GGA67" s="207"/>
      <c r="GGB67" s="134" t="s">
        <v>136</v>
      </c>
      <c r="GGC67" s="205"/>
      <c r="GGD67" s="206"/>
      <c r="GGE67" s="128" t="s">
        <v>24</v>
      </c>
      <c r="GGF67" s="129">
        <v>8150</v>
      </c>
      <c r="GGG67" s="137">
        <v>85</v>
      </c>
      <c r="GGH67" s="138">
        <v>215</v>
      </c>
      <c r="GGI67" s="138">
        <v>75</v>
      </c>
      <c r="GGJ67" s="137">
        <v>150</v>
      </c>
      <c r="GGK67" s="139">
        <f>SUM(GGF67:GGJ67)</f>
        <v>8675</v>
      </c>
      <c r="GGL67" s="137">
        <v>200</v>
      </c>
      <c r="GGM67" s="139">
        <f>SUM(GGK67:GGL67)</f>
        <v>8875</v>
      </c>
      <c r="GGN67" s="132" t="s">
        <v>113</v>
      </c>
      <c r="GGO67" s="133">
        <v>45845</v>
      </c>
      <c r="GGP67" s="128" t="s">
        <v>41</v>
      </c>
      <c r="GGQ67" s="207"/>
      <c r="GGR67" s="134" t="s">
        <v>136</v>
      </c>
      <c r="GGS67" s="205"/>
      <c r="GGT67" s="206"/>
      <c r="GGU67" s="128" t="s">
        <v>24</v>
      </c>
      <c r="GGV67" s="129">
        <v>8150</v>
      </c>
      <c r="GGW67" s="137">
        <v>85</v>
      </c>
      <c r="GGX67" s="138">
        <v>215</v>
      </c>
      <c r="GGY67" s="138">
        <v>75</v>
      </c>
      <c r="GGZ67" s="137">
        <v>150</v>
      </c>
      <c r="GHA67" s="139">
        <f>SUM(GGV67:GGZ67)</f>
        <v>8675</v>
      </c>
      <c r="GHB67" s="137">
        <v>200</v>
      </c>
      <c r="GHC67" s="139">
        <f>SUM(GHA67:GHB67)</f>
        <v>8875</v>
      </c>
      <c r="GHD67" s="132" t="s">
        <v>113</v>
      </c>
      <c r="GHE67" s="133">
        <v>45845</v>
      </c>
      <c r="GHF67" s="128" t="s">
        <v>41</v>
      </c>
      <c r="GHG67" s="207"/>
      <c r="GHH67" s="134" t="s">
        <v>136</v>
      </c>
      <c r="GHI67" s="205"/>
      <c r="GHJ67" s="206"/>
      <c r="GHK67" s="128" t="s">
        <v>24</v>
      </c>
      <c r="GHL67" s="129">
        <v>8150</v>
      </c>
      <c r="GHM67" s="137">
        <v>85</v>
      </c>
      <c r="GHN67" s="138">
        <v>215</v>
      </c>
      <c r="GHO67" s="138">
        <v>75</v>
      </c>
      <c r="GHP67" s="137">
        <v>150</v>
      </c>
      <c r="GHQ67" s="139">
        <f>SUM(GHL67:GHP67)</f>
        <v>8675</v>
      </c>
      <c r="GHR67" s="137">
        <v>200</v>
      </c>
      <c r="GHS67" s="139">
        <f>SUM(GHQ67:GHR67)</f>
        <v>8875</v>
      </c>
      <c r="GHT67" s="132" t="s">
        <v>113</v>
      </c>
      <c r="GHU67" s="133">
        <v>45845</v>
      </c>
      <c r="GHV67" s="128" t="s">
        <v>41</v>
      </c>
      <c r="GHW67" s="207"/>
      <c r="GHX67" s="134" t="s">
        <v>136</v>
      </c>
      <c r="GHY67" s="205"/>
      <c r="GHZ67" s="206"/>
      <c r="GIA67" s="128" t="s">
        <v>24</v>
      </c>
      <c r="GIB67" s="129">
        <v>8150</v>
      </c>
      <c r="GIC67" s="137">
        <v>85</v>
      </c>
      <c r="GID67" s="138">
        <v>215</v>
      </c>
      <c r="GIE67" s="138">
        <v>75</v>
      </c>
      <c r="GIF67" s="137">
        <v>150</v>
      </c>
      <c r="GIG67" s="139">
        <f>SUM(GIB67:GIF67)</f>
        <v>8675</v>
      </c>
      <c r="GIH67" s="137">
        <v>200</v>
      </c>
      <c r="GII67" s="139">
        <f>SUM(GIG67:GIH67)</f>
        <v>8875</v>
      </c>
      <c r="GIJ67" s="132" t="s">
        <v>113</v>
      </c>
      <c r="GIK67" s="133">
        <v>45845</v>
      </c>
      <c r="GIL67" s="128" t="s">
        <v>41</v>
      </c>
      <c r="GIM67" s="207"/>
      <c r="GIN67" s="134" t="s">
        <v>136</v>
      </c>
      <c r="GIO67" s="205"/>
      <c r="GIP67" s="206"/>
      <c r="GIQ67" s="128" t="s">
        <v>24</v>
      </c>
      <c r="GIR67" s="129">
        <v>8150</v>
      </c>
      <c r="GIS67" s="137">
        <v>85</v>
      </c>
      <c r="GIT67" s="138">
        <v>215</v>
      </c>
      <c r="GIU67" s="138">
        <v>75</v>
      </c>
      <c r="GIV67" s="137">
        <v>150</v>
      </c>
      <c r="GIW67" s="139">
        <f>SUM(GIR67:GIV67)</f>
        <v>8675</v>
      </c>
      <c r="GIX67" s="137">
        <v>200</v>
      </c>
      <c r="GIY67" s="139">
        <f>SUM(GIW67:GIX67)</f>
        <v>8875</v>
      </c>
      <c r="GIZ67" s="132" t="s">
        <v>113</v>
      </c>
      <c r="GJA67" s="133">
        <v>45845</v>
      </c>
      <c r="GJB67" s="128" t="s">
        <v>41</v>
      </c>
      <c r="GJC67" s="207"/>
      <c r="GJD67" s="134" t="s">
        <v>136</v>
      </c>
      <c r="GJE67" s="205"/>
      <c r="GJF67" s="206"/>
      <c r="GJG67" s="128" t="s">
        <v>24</v>
      </c>
      <c r="GJH67" s="129">
        <v>8150</v>
      </c>
      <c r="GJI67" s="137">
        <v>85</v>
      </c>
      <c r="GJJ67" s="138">
        <v>215</v>
      </c>
      <c r="GJK67" s="138">
        <v>75</v>
      </c>
      <c r="GJL67" s="137">
        <v>150</v>
      </c>
      <c r="GJM67" s="139">
        <f>SUM(GJH67:GJL67)</f>
        <v>8675</v>
      </c>
      <c r="GJN67" s="137">
        <v>200</v>
      </c>
      <c r="GJO67" s="139">
        <f>SUM(GJM67:GJN67)</f>
        <v>8875</v>
      </c>
      <c r="GJP67" s="132" t="s">
        <v>113</v>
      </c>
      <c r="GJQ67" s="133">
        <v>45845</v>
      </c>
      <c r="GJR67" s="128" t="s">
        <v>41</v>
      </c>
      <c r="GJS67" s="207"/>
      <c r="GJT67" s="134" t="s">
        <v>136</v>
      </c>
      <c r="GJU67" s="205"/>
      <c r="GJV67" s="206"/>
      <c r="GJW67" s="128" t="s">
        <v>24</v>
      </c>
      <c r="GJX67" s="129">
        <v>8150</v>
      </c>
      <c r="GJY67" s="137">
        <v>85</v>
      </c>
      <c r="GJZ67" s="138">
        <v>215</v>
      </c>
      <c r="GKA67" s="138">
        <v>75</v>
      </c>
      <c r="GKB67" s="137">
        <v>150</v>
      </c>
      <c r="GKC67" s="139">
        <f>SUM(GJX67:GKB67)</f>
        <v>8675</v>
      </c>
      <c r="GKD67" s="137">
        <v>200</v>
      </c>
      <c r="GKE67" s="139">
        <f>SUM(GKC67:GKD67)</f>
        <v>8875</v>
      </c>
      <c r="GKF67" s="132" t="s">
        <v>113</v>
      </c>
      <c r="GKG67" s="133">
        <v>45845</v>
      </c>
      <c r="GKH67" s="128" t="s">
        <v>41</v>
      </c>
      <c r="GKI67" s="207"/>
      <c r="GKJ67" s="134" t="s">
        <v>136</v>
      </c>
      <c r="GKK67" s="205"/>
      <c r="GKL67" s="206"/>
      <c r="GKM67" s="128" t="s">
        <v>24</v>
      </c>
      <c r="GKN67" s="129">
        <v>8150</v>
      </c>
      <c r="GKO67" s="137">
        <v>85</v>
      </c>
      <c r="GKP67" s="138">
        <v>215</v>
      </c>
      <c r="GKQ67" s="138">
        <v>75</v>
      </c>
      <c r="GKR67" s="137">
        <v>150</v>
      </c>
      <c r="GKS67" s="139">
        <f>SUM(GKN67:GKR67)</f>
        <v>8675</v>
      </c>
      <c r="GKT67" s="137">
        <v>200</v>
      </c>
      <c r="GKU67" s="139">
        <f>SUM(GKS67:GKT67)</f>
        <v>8875</v>
      </c>
      <c r="GKV67" s="132" t="s">
        <v>113</v>
      </c>
      <c r="GKW67" s="133">
        <v>45845</v>
      </c>
      <c r="GKX67" s="128" t="s">
        <v>41</v>
      </c>
      <c r="GKY67" s="207"/>
      <c r="GKZ67" s="134" t="s">
        <v>136</v>
      </c>
      <c r="GLA67" s="205"/>
      <c r="GLB67" s="206"/>
      <c r="GLC67" s="128" t="s">
        <v>24</v>
      </c>
      <c r="GLD67" s="129">
        <v>8150</v>
      </c>
      <c r="GLE67" s="137">
        <v>85</v>
      </c>
      <c r="GLF67" s="138">
        <v>215</v>
      </c>
      <c r="GLG67" s="138">
        <v>75</v>
      </c>
      <c r="GLH67" s="137">
        <v>150</v>
      </c>
      <c r="GLI67" s="139">
        <f>SUM(GLD67:GLH67)</f>
        <v>8675</v>
      </c>
      <c r="GLJ67" s="137">
        <v>200</v>
      </c>
      <c r="GLK67" s="139">
        <f>SUM(GLI67:GLJ67)</f>
        <v>8875</v>
      </c>
      <c r="GLL67" s="132" t="s">
        <v>113</v>
      </c>
      <c r="GLM67" s="133">
        <v>45845</v>
      </c>
      <c r="GLN67" s="128" t="s">
        <v>41</v>
      </c>
      <c r="GLO67" s="207"/>
      <c r="GLP67" s="134" t="s">
        <v>136</v>
      </c>
      <c r="GLQ67" s="205"/>
      <c r="GLR67" s="206"/>
      <c r="GLS67" s="128" t="s">
        <v>24</v>
      </c>
      <c r="GLT67" s="129">
        <v>8150</v>
      </c>
      <c r="GLU67" s="137">
        <v>85</v>
      </c>
      <c r="GLV67" s="138">
        <v>215</v>
      </c>
      <c r="GLW67" s="138">
        <v>75</v>
      </c>
      <c r="GLX67" s="137">
        <v>150</v>
      </c>
      <c r="GLY67" s="139">
        <f>SUM(GLT67:GLX67)</f>
        <v>8675</v>
      </c>
      <c r="GLZ67" s="137">
        <v>200</v>
      </c>
      <c r="GMA67" s="139">
        <f>SUM(GLY67:GLZ67)</f>
        <v>8875</v>
      </c>
      <c r="GMB67" s="132" t="s">
        <v>113</v>
      </c>
      <c r="GMC67" s="133">
        <v>45845</v>
      </c>
      <c r="GMD67" s="128" t="s">
        <v>41</v>
      </c>
      <c r="GME67" s="207"/>
      <c r="GMF67" s="134" t="s">
        <v>136</v>
      </c>
      <c r="GMG67" s="205"/>
      <c r="GMH67" s="206"/>
      <c r="GMI67" s="128" t="s">
        <v>24</v>
      </c>
      <c r="GMJ67" s="129">
        <v>8150</v>
      </c>
      <c r="GMK67" s="137">
        <v>85</v>
      </c>
      <c r="GML67" s="138">
        <v>215</v>
      </c>
      <c r="GMM67" s="138">
        <v>75</v>
      </c>
      <c r="GMN67" s="137">
        <v>150</v>
      </c>
      <c r="GMO67" s="139">
        <f>SUM(GMJ67:GMN67)</f>
        <v>8675</v>
      </c>
      <c r="GMP67" s="137">
        <v>200</v>
      </c>
      <c r="GMQ67" s="139">
        <f>SUM(GMO67:GMP67)</f>
        <v>8875</v>
      </c>
      <c r="GMR67" s="132" t="s">
        <v>113</v>
      </c>
      <c r="GMS67" s="133">
        <v>45845</v>
      </c>
      <c r="GMT67" s="128" t="s">
        <v>41</v>
      </c>
      <c r="GMU67" s="207"/>
      <c r="GMV67" s="134" t="s">
        <v>136</v>
      </c>
      <c r="GMW67" s="205"/>
      <c r="GMX67" s="206"/>
      <c r="GMY67" s="128" t="s">
        <v>24</v>
      </c>
      <c r="GMZ67" s="129">
        <v>8150</v>
      </c>
      <c r="GNA67" s="137">
        <v>85</v>
      </c>
      <c r="GNB67" s="138">
        <v>215</v>
      </c>
      <c r="GNC67" s="138">
        <v>75</v>
      </c>
      <c r="GND67" s="137">
        <v>150</v>
      </c>
      <c r="GNE67" s="139">
        <f>SUM(GMZ67:GND67)</f>
        <v>8675</v>
      </c>
      <c r="GNF67" s="137">
        <v>200</v>
      </c>
      <c r="GNG67" s="139">
        <f>SUM(GNE67:GNF67)</f>
        <v>8875</v>
      </c>
      <c r="GNH67" s="132" t="s">
        <v>113</v>
      </c>
      <c r="GNI67" s="133">
        <v>45845</v>
      </c>
      <c r="GNJ67" s="128" t="s">
        <v>41</v>
      </c>
      <c r="GNK67" s="207"/>
      <c r="GNL67" s="134" t="s">
        <v>136</v>
      </c>
      <c r="GNM67" s="205"/>
      <c r="GNN67" s="206"/>
      <c r="GNO67" s="128" t="s">
        <v>24</v>
      </c>
      <c r="GNP67" s="129">
        <v>8150</v>
      </c>
      <c r="GNQ67" s="137">
        <v>85</v>
      </c>
      <c r="GNR67" s="138">
        <v>215</v>
      </c>
      <c r="GNS67" s="138">
        <v>75</v>
      </c>
      <c r="GNT67" s="137">
        <v>150</v>
      </c>
      <c r="GNU67" s="139">
        <f>SUM(GNP67:GNT67)</f>
        <v>8675</v>
      </c>
      <c r="GNV67" s="137">
        <v>200</v>
      </c>
      <c r="GNW67" s="139">
        <f>SUM(GNU67:GNV67)</f>
        <v>8875</v>
      </c>
      <c r="GNX67" s="132" t="s">
        <v>113</v>
      </c>
      <c r="GNY67" s="133">
        <v>45845</v>
      </c>
      <c r="GNZ67" s="128" t="s">
        <v>41</v>
      </c>
      <c r="GOA67" s="207"/>
      <c r="GOB67" s="134" t="s">
        <v>136</v>
      </c>
      <c r="GOC67" s="205"/>
      <c r="GOD67" s="206"/>
      <c r="GOE67" s="128" t="s">
        <v>24</v>
      </c>
      <c r="GOF67" s="129">
        <v>8150</v>
      </c>
      <c r="GOG67" s="137">
        <v>85</v>
      </c>
      <c r="GOH67" s="138">
        <v>215</v>
      </c>
      <c r="GOI67" s="138">
        <v>75</v>
      </c>
      <c r="GOJ67" s="137">
        <v>150</v>
      </c>
      <c r="GOK67" s="139">
        <f>SUM(GOF67:GOJ67)</f>
        <v>8675</v>
      </c>
      <c r="GOL67" s="137">
        <v>200</v>
      </c>
      <c r="GOM67" s="139">
        <f>SUM(GOK67:GOL67)</f>
        <v>8875</v>
      </c>
      <c r="GON67" s="132" t="s">
        <v>113</v>
      </c>
      <c r="GOO67" s="133">
        <v>45845</v>
      </c>
      <c r="GOP67" s="128" t="s">
        <v>41</v>
      </c>
      <c r="GOQ67" s="207"/>
      <c r="GOR67" s="134" t="s">
        <v>136</v>
      </c>
      <c r="GOS67" s="205"/>
      <c r="GOT67" s="206"/>
      <c r="GOU67" s="128" t="s">
        <v>24</v>
      </c>
      <c r="GOV67" s="129">
        <v>8150</v>
      </c>
      <c r="GOW67" s="137">
        <v>85</v>
      </c>
      <c r="GOX67" s="138">
        <v>215</v>
      </c>
      <c r="GOY67" s="138">
        <v>75</v>
      </c>
      <c r="GOZ67" s="137">
        <v>150</v>
      </c>
      <c r="GPA67" s="139">
        <f>SUM(GOV67:GOZ67)</f>
        <v>8675</v>
      </c>
      <c r="GPB67" s="137">
        <v>200</v>
      </c>
      <c r="GPC67" s="139">
        <f>SUM(GPA67:GPB67)</f>
        <v>8875</v>
      </c>
      <c r="GPD67" s="132" t="s">
        <v>113</v>
      </c>
      <c r="GPE67" s="133">
        <v>45845</v>
      </c>
      <c r="GPF67" s="128" t="s">
        <v>41</v>
      </c>
      <c r="GPG67" s="207"/>
      <c r="GPH67" s="134" t="s">
        <v>136</v>
      </c>
      <c r="GPI67" s="205"/>
      <c r="GPJ67" s="206"/>
      <c r="GPK67" s="128" t="s">
        <v>24</v>
      </c>
      <c r="GPL67" s="129">
        <v>8150</v>
      </c>
      <c r="GPM67" s="137">
        <v>85</v>
      </c>
      <c r="GPN67" s="138">
        <v>215</v>
      </c>
      <c r="GPO67" s="138">
        <v>75</v>
      </c>
      <c r="GPP67" s="137">
        <v>150</v>
      </c>
      <c r="GPQ67" s="139">
        <f>SUM(GPL67:GPP67)</f>
        <v>8675</v>
      </c>
      <c r="GPR67" s="137">
        <v>200</v>
      </c>
      <c r="GPS67" s="139">
        <f>SUM(GPQ67:GPR67)</f>
        <v>8875</v>
      </c>
      <c r="GPT67" s="132" t="s">
        <v>113</v>
      </c>
      <c r="GPU67" s="133">
        <v>45845</v>
      </c>
      <c r="GPV67" s="128" t="s">
        <v>41</v>
      </c>
      <c r="GPW67" s="207"/>
      <c r="GPX67" s="134" t="s">
        <v>136</v>
      </c>
      <c r="GPY67" s="205"/>
      <c r="GPZ67" s="206"/>
      <c r="GQA67" s="128" t="s">
        <v>24</v>
      </c>
      <c r="GQB67" s="129">
        <v>8150</v>
      </c>
      <c r="GQC67" s="137">
        <v>85</v>
      </c>
      <c r="GQD67" s="138">
        <v>215</v>
      </c>
      <c r="GQE67" s="138">
        <v>75</v>
      </c>
      <c r="GQF67" s="137">
        <v>150</v>
      </c>
      <c r="GQG67" s="139">
        <f>SUM(GQB67:GQF67)</f>
        <v>8675</v>
      </c>
      <c r="GQH67" s="137">
        <v>200</v>
      </c>
      <c r="GQI67" s="139">
        <f>SUM(GQG67:GQH67)</f>
        <v>8875</v>
      </c>
      <c r="GQJ67" s="132" t="s">
        <v>113</v>
      </c>
      <c r="GQK67" s="133">
        <v>45845</v>
      </c>
      <c r="GQL67" s="128" t="s">
        <v>41</v>
      </c>
      <c r="GQM67" s="207"/>
      <c r="GQN67" s="134" t="s">
        <v>136</v>
      </c>
      <c r="GQO67" s="205"/>
      <c r="GQP67" s="206"/>
      <c r="GQQ67" s="128" t="s">
        <v>24</v>
      </c>
      <c r="GQR67" s="129">
        <v>8150</v>
      </c>
      <c r="GQS67" s="137">
        <v>85</v>
      </c>
      <c r="GQT67" s="138">
        <v>215</v>
      </c>
      <c r="GQU67" s="138">
        <v>75</v>
      </c>
      <c r="GQV67" s="137">
        <v>150</v>
      </c>
      <c r="GQW67" s="139">
        <f>SUM(GQR67:GQV67)</f>
        <v>8675</v>
      </c>
      <c r="GQX67" s="137">
        <v>200</v>
      </c>
      <c r="GQY67" s="139">
        <f>SUM(GQW67:GQX67)</f>
        <v>8875</v>
      </c>
      <c r="GQZ67" s="132" t="s">
        <v>113</v>
      </c>
      <c r="GRA67" s="133">
        <v>45845</v>
      </c>
      <c r="GRB67" s="128" t="s">
        <v>41</v>
      </c>
      <c r="GRC67" s="207"/>
      <c r="GRD67" s="134" t="s">
        <v>136</v>
      </c>
      <c r="GRE67" s="205"/>
      <c r="GRF67" s="206"/>
      <c r="GRG67" s="128" t="s">
        <v>24</v>
      </c>
      <c r="GRH67" s="129">
        <v>8150</v>
      </c>
      <c r="GRI67" s="137">
        <v>85</v>
      </c>
      <c r="GRJ67" s="138">
        <v>215</v>
      </c>
      <c r="GRK67" s="138">
        <v>75</v>
      </c>
      <c r="GRL67" s="137">
        <v>150</v>
      </c>
      <c r="GRM67" s="139">
        <f>SUM(GRH67:GRL67)</f>
        <v>8675</v>
      </c>
      <c r="GRN67" s="137">
        <v>200</v>
      </c>
      <c r="GRO67" s="139">
        <f>SUM(GRM67:GRN67)</f>
        <v>8875</v>
      </c>
      <c r="GRP67" s="132" t="s">
        <v>113</v>
      </c>
      <c r="GRQ67" s="133">
        <v>45845</v>
      </c>
      <c r="GRR67" s="128" t="s">
        <v>41</v>
      </c>
      <c r="GRS67" s="207"/>
      <c r="GRT67" s="134" t="s">
        <v>136</v>
      </c>
      <c r="GRU67" s="205"/>
      <c r="GRV67" s="206"/>
      <c r="GRW67" s="128" t="s">
        <v>24</v>
      </c>
      <c r="GRX67" s="129">
        <v>8150</v>
      </c>
      <c r="GRY67" s="137">
        <v>85</v>
      </c>
      <c r="GRZ67" s="138">
        <v>215</v>
      </c>
      <c r="GSA67" s="138">
        <v>75</v>
      </c>
      <c r="GSB67" s="137">
        <v>150</v>
      </c>
      <c r="GSC67" s="139">
        <f>SUM(GRX67:GSB67)</f>
        <v>8675</v>
      </c>
      <c r="GSD67" s="137">
        <v>200</v>
      </c>
      <c r="GSE67" s="139">
        <f>SUM(GSC67:GSD67)</f>
        <v>8875</v>
      </c>
      <c r="GSF67" s="132" t="s">
        <v>113</v>
      </c>
      <c r="GSG67" s="133">
        <v>45845</v>
      </c>
      <c r="GSH67" s="128" t="s">
        <v>41</v>
      </c>
      <c r="GSI67" s="207"/>
      <c r="GSJ67" s="134" t="s">
        <v>136</v>
      </c>
      <c r="GSK67" s="205"/>
      <c r="GSL67" s="206"/>
      <c r="GSM67" s="128" t="s">
        <v>24</v>
      </c>
      <c r="GSN67" s="129">
        <v>8150</v>
      </c>
      <c r="GSO67" s="137">
        <v>85</v>
      </c>
      <c r="GSP67" s="138">
        <v>215</v>
      </c>
      <c r="GSQ67" s="138">
        <v>75</v>
      </c>
      <c r="GSR67" s="137">
        <v>150</v>
      </c>
      <c r="GSS67" s="139">
        <f>SUM(GSN67:GSR67)</f>
        <v>8675</v>
      </c>
      <c r="GST67" s="137">
        <v>200</v>
      </c>
      <c r="GSU67" s="139">
        <f>SUM(GSS67:GST67)</f>
        <v>8875</v>
      </c>
      <c r="GSV67" s="132" t="s">
        <v>113</v>
      </c>
      <c r="GSW67" s="133">
        <v>45845</v>
      </c>
      <c r="GSX67" s="128" t="s">
        <v>41</v>
      </c>
      <c r="GSY67" s="207"/>
      <c r="GSZ67" s="134" t="s">
        <v>136</v>
      </c>
      <c r="GTA67" s="205"/>
      <c r="GTB67" s="206"/>
      <c r="GTC67" s="128" t="s">
        <v>24</v>
      </c>
      <c r="GTD67" s="129">
        <v>8150</v>
      </c>
      <c r="GTE67" s="137">
        <v>85</v>
      </c>
      <c r="GTF67" s="138">
        <v>215</v>
      </c>
      <c r="GTG67" s="138">
        <v>75</v>
      </c>
      <c r="GTH67" s="137">
        <v>150</v>
      </c>
      <c r="GTI67" s="139">
        <f>SUM(GTD67:GTH67)</f>
        <v>8675</v>
      </c>
      <c r="GTJ67" s="137">
        <v>200</v>
      </c>
      <c r="GTK67" s="139">
        <f>SUM(GTI67:GTJ67)</f>
        <v>8875</v>
      </c>
      <c r="GTL67" s="132" t="s">
        <v>113</v>
      </c>
      <c r="GTM67" s="133">
        <v>45845</v>
      </c>
      <c r="GTN67" s="128" t="s">
        <v>41</v>
      </c>
      <c r="GTO67" s="207"/>
      <c r="GTP67" s="134" t="s">
        <v>136</v>
      </c>
      <c r="GTQ67" s="205"/>
      <c r="GTR67" s="206"/>
      <c r="GTS67" s="128" t="s">
        <v>24</v>
      </c>
      <c r="GTT67" s="129">
        <v>8150</v>
      </c>
      <c r="GTU67" s="137">
        <v>85</v>
      </c>
      <c r="GTV67" s="138">
        <v>215</v>
      </c>
      <c r="GTW67" s="138">
        <v>75</v>
      </c>
      <c r="GTX67" s="137">
        <v>150</v>
      </c>
      <c r="GTY67" s="139">
        <f>SUM(GTT67:GTX67)</f>
        <v>8675</v>
      </c>
      <c r="GTZ67" s="137">
        <v>200</v>
      </c>
      <c r="GUA67" s="139">
        <f>SUM(GTY67:GTZ67)</f>
        <v>8875</v>
      </c>
      <c r="GUB67" s="132" t="s">
        <v>113</v>
      </c>
      <c r="GUC67" s="133">
        <v>45845</v>
      </c>
      <c r="GUD67" s="128" t="s">
        <v>41</v>
      </c>
      <c r="GUE67" s="207"/>
      <c r="GUF67" s="134" t="s">
        <v>136</v>
      </c>
      <c r="GUG67" s="205"/>
      <c r="GUH67" s="206"/>
      <c r="GUI67" s="128" t="s">
        <v>24</v>
      </c>
      <c r="GUJ67" s="129">
        <v>8150</v>
      </c>
      <c r="GUK67" s="137">
        <v>85</v>
      </c>
      <c r="GUL67" s="138">
        <v>215</v>
      </c>
      <c r="GUM67" s="138">
        <v>75</v>
      </c>
      <c r="GUN67" s="137">
        <v>150</v>
      </c>
      <c r="GUO67" s="139">
        <f>SUM(GUJ67:GUN67)</f>
        <v>8675</v>
      </c>
      <c r="GUP67" s="137">
        <v>200</v>
      </c>
      <c r="GUQ67" s="139">
        <f>SUM(GUO67:GUP67)</f>
        <v>8875</v>
      </c>
      <c r="GUR67" s="132" t="s">
        <v>113</v>
      </c>
      <c r="GUS67" s="133">
        <v>45845</v>
      </c>
      <c r="GUT67" s="128" t="s">
        <v>41</v>
      </c>
      <c r="GUU67" s="207"/>
      <c r="GUV67" s="134" t="s">
        <v>136</v>
      </c>
      <c r="GUW67" s="205"/>
      <c r="GUX67" s="206"/>
      <c r="GUY67" s="128" t="s">
        <v>24</v>
      </c>
      <c r="GUZ67" s="129">
        <v>8150</v>
      </c>
      <c r="GVA67" s="137">
        <v>85</v>
      </c>
      <c r="GVB67" s="138">
        <v>215</v>
      </c>
      <c r="GVC67" s="138">
        <v>75</v>
      </c>
      <c r="GVD67" s="137">
        <v>150</v>
      </c>
      <c r="GVE67" s="139">
        <f>SUM(GUZ67:GVD67)</f>
        <v>8675</v>
      </c>
      <c r="GVF67" s="137">
        <v>200</v>
      </c>
      <c r="GVG67" s="139">
        <f>SUM(GVE67:GVF67)</f>
        <v>8875</v>
      </c>
      <c r="GVH67" s="132" t="s">
        <v>113</v>
      </c>
      <c r="GVI67" s="133">
        <v>45845</v>
      </c>
      <c r="GVJ67" s="128" t="s">
        <v>41</v>
      </c>
      <c r="GVK67" s="207"/>
      <c r="GVL67" s="134" t="s">
        <v>136</v>
      </c>
      <c r="GVM67" s="205"/>
      <c r="GVN67" s="206"/>
      <c r="GVO67" s="128" t="s">
        <v>24</v>
      </c>
      <c r="GVP67" s="129">
        <v>8150</v>
      </c>
      <c r="GVQ67" s="137">
        <v>85</v>
      </c>
      <c r="GVR67" s="138">
        <v>215</v>
      </c>
      <c r="GVS67" s="138">
        <v>75</v>
      </c>
      <c r="GVT67" s="137">
        <v>150</v>
      </c>
      <c r="GVU67" s="139">
        <f>SUM(GVP67:GVT67)</f>
        <v>8675</v>
      </c>
      <c r="GVV67" s="137">
        <v>200</v>
      </c>
      <c r="GVW67" s="139">
        <f>SUM(GVU67:GVV67)</f>
        <v>8875</v>
      </c>
      <c r="GVX67" s="132" t="s">
        <v>113</v>
      </c>
      <c r="GVY67" s="133">
        <v>45845</v>
      </c>
      <c r="GVZ67" s="128" t="s">
        <v>41</v>
      </c>
      <c r="GWA67" s="207"/>
      <c r="GWB67" s="134" t="s">
        <v>136</v>
      </c>
      <c r="GWC67" s="205"/>
      <c r="GWD67" s="206"/>
      <c r="GWE67" s="128" t="s">
        <v>24</v>
      </c>
      <c r="GWF67" s="129">
        <v>8150</v>
      </c>
      <c r="GWG67" s="137">
        <v>85</v>
      </c>
      <c r="GWH67" s="138">
        <v>215</v>
      </c>
      <c r="GWI67" s="138">
        <v>75</v>
      </c>
      <c r="GWJ67" s="137">
        <v>150</v>
      </c>
      <c r="GWK67" s="139">
        <f>SUM(GWF67:GWJ67)</f>
        <v>8675</v>
      </c>
      <c r="GWL67" s="137">
        <v>200</v>
      </c>
      <c r="GWM67" s="139">
        <f>SUM(GWK67:GWL67)</f>
        <v>8875</v>
      </c>
      <c r="GWN67" s="132" t="s">
        <v>113</v>
      </c>
      <c r="GWO67" s="133">
        <v>45845</v>
      </c>
      <c r="GWP67" s="128" t="s">
        <v>41</v>
      </c>
      <c r="GWQ67" s="207"/>
      <c r="GWR67" s="134" t="s">
        <v>136</v>
      </c>
      <c r="GWS67" s="205"/>
      <c r="GWT67" s="206"/>
      <c r="GWU67" s="128" t="s">
        <v>24</v>
      </c>
      <c r="GWV67" s="129">
        <v>8150</v>
      </c>
      <c r="GWW67" s="137">
        <v>85</v>
      </c>
      <c r="GWX67" s="138">
        <v>215</v>
      </c>
      <c r="GWY67" s="138">
        <v>75</v>
      </c>
      <c r="GWZ67" s="137">
        <v>150</v>
      </c>
      <c r="GXA67" s="139">
        <f>SUM(GWV67:GWZ67)</f>
        <v>8675</v>
      </c>
      <c r="GXB67" s="137">
        <v>200</v>
      </c>
      <c r="GXC67" s="139">
        <f>SUM(GXA67:GXB67)</f>
        <v>8875</v>
      </c>
      <c r="GXD67" s="132" t="s">
        <v>113</v>
      </c>
      <c r="GXE67" s="133">
        <v>45845</v>
      </c>
      <c r="GXF67" s="128" t="s">
        <v>41</v>
      </c>
      <c r="GXG67" s="207"/>
      <c r="GXH67" s="134" t="s">
        <v>136</v>
      </c>
      <c r="GXI67" s="205"/>
      <c r="GXJ67" s="206"/>
      <c r="GXK67" s="128" t="s">
        <v>24</v>
      </c>
      <c r="GXL67" s="129">
        <v>8150</v>
      </c>
      <c r="GXM67" s="137">
        <v>85</v>
      </c>
      <c r="GXN67" s="138">
        <v>215</v>
      </c>
      <c r="GXO67" s="138">
        <v>75</v>
      </c>
      <c r="GXP67" s="137">
        <v>150</v>
      </c>
      <c r="GXQ67" s="139">
        <f>SUM(GXL67:GXP67)</f>
        <v>8675</v>
      </c>
      <c r="GXR67" s="137">
        <v>200</v>
      </c>
      <c r="GXS67" s="139">
        <f>SUM(GXQ67:GXR67)</f>
        <v>8875</v>
      </c>
      <c r="GXT67" s="132" t="s">
        <v>113</v>
      </c>
      <c r="GXU67" s="133">
        <v>45845</v>
      </c>
      <c r="GXV67" s="128" t="s">
        <v>41</v>
      </c>
      <c r="GXW67" s="207"/>
      <c r="GXX67" s="134" t="s">
        <v>136</v>
      </c>
      <c r="GXY67" s="205"/>
      <c r="GXZ67" s="206"/>
      <c r="GYA67" s="128" t="s">
        <v>24</v>
      </c>
      <c r="GYB67" s="129">
        <v>8150</v>
      </c>
      <c r="GYC67" s="137">
        <v>85</v>
      </c>
      <c r="GYD67" s="138">
        <v>215</v>
      </c>
      <c r="GYE67" s="138">
        <v>75</v>
      </c>
      <c r="GYF67" s="137">
        <v>150</v>
      </c>
      <c r="GYG67" s="139">
        <f>SUM(GYB67:GYF67)</f>
        <v>8675</v>
      </c>
      <c r="GYH67" s="137">
        <v>200</v>
      </c>
      <c r="GYI67" s="139">
        <f>SUM(GYG67:GYH67)</f>
        <v>8875</v>
      </c>
      <c r="GYJ67" s="132" t="s">
        <v>113</v>
      </c>
      <c r="GYK67" s="133">
        <v>45845</v>
      </c>
      <c r="GYL67" s="128" t="s">
        <v>41</v>
      </c>
      <c r="GYM67" s="207"/>
      <c r="GYN67" s="134" t="s">
        <v>136</v>
      </c>
      <c r="GYO67" s="205"/>
      <c r="GYP67" s="206"/>
      <c r="GYQ67" s="128" t="s">
        <v>24</v>
      </c>
      <c r="GYR67" s="129">
        <v>8150</v>
      </c>
      <c r="GYS67" s="137">
        <v>85</v>
      </c>
      <c r="GYT67" s="138">
        <v>215</v>
      </c>
      <c r="GYU67" s="138">
        <v>75</v>
      </c>
      <c r="GYV67" s="137">
        <v>150</v>
      </c>
      <c r="GYW67" s="139">
        <f>SUM(GYR67:GYV67)</f>
        <v>8675</v>
      </c>
      <c r="GYX67" s="137">
        <v>200</v>
      </c>
      <c r="GYY67" s="139">
        <f>SUM(GYW67:GYX67)</f>
        <v>8875</v>
      </c>
      <c r="GYZ67" s="132" t="s">
        <v>113</v>
      </c>
      <c r="GZA67" s="133">
        <v>45845</v>
      </c>
      <c r="GZB67" s="128" t="s">
        <v>41</v>
      </c>
      <c r="GZC67" s="207"/>
      <c r="GZD67" s="134" t="s">
        <v>136</v>
      </c>
      <c r="GZE67" s="205"/>
      <c r="GZF67" s="206"/>
      <c r="GZG67" s="128" t="s">
        <v>24</v>
      </c>
      <c r="GZH67" s="129">
        <v>8150</v>
      </c>
      <c r="GZI67" s="137">
        <v>85</v>
      </c>
      <c r="GZJ67" s="138">
        <v>215</v>
      </c>
      <c r="GZK67" s="138">
        <v>75</v>
      </c>
      <c r="GZL67" s="137">
        <v>150</v>
      </c>
      <c r="GZM67" s="139">
        <f>SUM(GZH67:GZL67)</f>
        <v>8675</v>
      </c>
      <c r="GZN67" s="137">
        <v>200</v>
      </c>
      <c r="GZO67" s="139">
        <f>SUM(GZM67:GZN67)</f>
        <v>8875</v>
      </c>
      <c r="GZP67" s="132" t="s">
        <v>113</v>
      </c>
      <c r="GZQ67" s="133">
        <v>45845</v>
      </c>
      <c r="GZR67" s="128" t="s">
        <v>41</v>
      </c>
      <c r="GZS67" s="207"/>
      <c r="GZT67" s="134" t="s">
        <v>136</v>
      </c>
      <c r="GZU67" s="205"/>
      <c r="GZV67" s="206"/>
      <c r="GZW67" s="128" t="s">
        <v>24</v>
      </c>
      <c r="GZX67" s="129">
        <v>8150</v>
      </c>
      <c r="GZY67" s="137">
        <v>85</v>
      </c>
      <c r="GZZ67" s="138">
        <v>215</v>
      </c>
      <c r="HAA67" s="138">
        <v>75</v>
      </c>
      <c r="HAB67" s="137">
        <v>150</v>
      </c>
      <c r="HAC67" s="139">
        <f>SUM(GZX67:HAB67)</f>
        <v>8675</v>
      </c>
      <c r="HAD67" s="137">
        <v>200</v>
      </c>
      <c r="HAE67" s="139">
        <f>SUM(HAC67:HAD67)</f>
        <v>8875</v>
      </c>
      <c r="HAF67" s="132" t="s">
        <v>113</v>
      </c>
      <c r="HAG67" s="133">
        <v>45845</v>
      </c>
      <c r="HAH67" s="128" t="s">
        <v>41</v>
      </c>
      <c r="HAI67" s="207"/>
      <c r="HAJ67" s="134" t="s">
        <v>136</v>
      </c>
      <c r="HAK67" s="205"/>
      <c r="HAL67" s="206"/>
      <c r="HAM67" s="128" t="s">
        <v>24</v>
      </c>
      <c r="HAN67" s="129">
        <v>8150</v>
      </c>
      <c r="HAO67" s="137">
        <v>85</v>
      </c>
      <c r="HAP67" s="138">
        <v>215</v>
      </c>
      <c r="HAQ67" s="138">
        <v>75</v>
      </c>
      <c r="HAR67" s="137">
        <v>150</v>
      </c>
      <c r="HAS67" s="139">
        <f>SUM(HAN67:HAR67)</f>
        <v>8675</v>
      </c>
      <c r="HAT67" s="137">
        <v>200</v>
      </c>
      <c r="HAU67" s="139">
        <f>SUM(HAS67:HAT67)</f>
        <v>8875</v>
      </c>
      <c r="HAV67" s="132" t="s">
        <v>113</v>
      </c>
      <c r="HAW67" s="133">
        <v>45845</v>
      </c>
      <c r="HAX67" s="128" t="s">
        <v>41</v>
      </c>
      <c r="HAY67" s="207"/>
      <c r="HAZ67" s="134" t="s">
        <v>136</v>
      </c>
      <c r="HBA67" s="205"/>
      <c r="HBB67" s="206"/>
      <c r="HBC67" s="128" t="s">
        <v>24</v>
      </c>
      <c r="HBD67" s="129">
        <v>8150</v>
      </c>
      <c r="HBE67" s="137">
        <v>85</v>
      </c>
      <c r="HBF67" s="138">
        <v>215</v>
      </c>
      <c r="HBG67" s="138">
        <v>75</v>
      </c>
      <c r="HBH67" s="137">
        <v>150</v>
      </c>
      <c r="HBI67" s="139">
        <f>SUM(HBD67:HBH67)</f>
        <v>8675</v>
      </c>
      <c r="HBJ67" s="137">
        <v>200</v>
      </c>
      <c r="HBK67" s="139">
        <f>SUM(HBI67:HBJ67)</f>
        <v>8875</v>
      </c>
      <c r="HBL67" s="132" t="s">
        <v>113</v>
      </c>
      <c r="HBM67" s="133">
        <v>45845</v>
      </c>
      <c r="HBN67" s="128" t="s">
        <v>41</v>
      </c>
      <c r="HBO67" s="207"/>
      <c r="HBP67" s="134" t="s">
        <v>136</v>
      </c>
      <c r="HBQ67" s="205"/>
      <c r="HBR67" s="206"/>
      <c r="HBS67" s="128" t="s">
        <v>24</v>
      </c>
      <c r="HBT67" s="129">
        <v>8150</v>
      </c>
      <c r="HBU67" s="137">
        <v>85</v>
      </c>
      <c r="HBV67" s="138">
        <v>215</v>
      </c>
      <c r="HBW67" s="138">
        <v>75</v>
      </c>
      <c r="HBX67" s="137">
        <v>150</v>
      </c>
      <c r="HBY67" s="139">
        <f>SUM(HBT67:HBX67)</f>
        <v>8675</v>
      </c>
      <c r="HBZ67" s="137">
        <v>200</v>
      </c>
      <c r="HCA67" s="139">
        <f>SUM(HBY67:HBZ67)</f>
        <v>8875</v>
      </c>
      <c r="HCB67" s="132" t="s">
        <v>113</v>
      </c>
      <c r="HCC67" s="133">
        <v>45845</v>
      </c>
      <c r="HCD67" s="128" t="s">
        <v>41</v>
      </c>
      <c r="HCE67" s="207"/>
      <c r="HCF67" s="134" t="s">
        <v>136</v>
      </c>
      <c r="HCG67" s="205"/>
      <c r="HCH67" s="206"/>
      <c r="HCI67" s="128" t="s">
        <v>24</v>
      </c>
      <c r="HCJ67" s="129">
        <v>8150</v>
      </c>
      <c r="HCK67" s="137">
        <v>85</v>
      </c>
      <c r="HCL67" s="138">
        <v>215</v>
      </c>
      <c r="HCM67" s="138">
        <v>75</v>
      </c>
      <c r="HCN67" s="137">
        <v>150</v>
      </c>
      <c r="HCO67" s="139">
        <f>SUM(HCJ67:HCN67)</f>
        <v>8675</v>
      </c>
      <c r="HCP67" s="137">
        <v>200</v>
      </c>
      <c r="HCQ67" s="139">
        <f>SUM(HCO67:HCP67)</f>
        <v>8875</v>
      </c>
      <c r="HCR67" s="132" t="s">
        <v>113</v>
      </c>
      <c r="HCS67" s="133">
        <v>45845</v>
      </c>
      <c r="HCT67" s="128" t="s">
        <v>41</v>
      </c>
      <c r="HCU67" s="207"/>
      <c r="HCV67" s="134" t="s">
        <v>136</v>
      </c>
      <c r="HCW67" s="205"/>
      <c r="HCX67" s="206"/>
      <c r="HCY67" s="128" t="s">
        <v>24</v>
      </c>
      <c r="HCZ67" s="129">
        <v>8150</v>
      </c>
      <c r="HDA67" s="137">
        <v>85</v>
      </c>
      <c r="HDB67" s="138">
        <v>215</v>
      </c>
      <c r="HDC67" s="138">
        <v>75</v>
      </c>
      <c r="HDD67" s="137">
        <v>150</v>
      </c>
      <c r="HDE67" s="139">
        <f>SUM(HCZ67:HDD67)</f>
        <v>8675</v>
      </c>
      <c r="HDF67" s="137">
        <v>200</v>
      </c>
      <c r="HDG67" s="139">
        <f>SUM(HDE67:HDF67)</f>
        <v>8875</v>
      </c>
      <c r="HDH67" s="132" t="s">
        <v>113</v>
      </c>
      <c r="HDI67" s="133">
        <v>45845</v>
      </c>
      <c r="HDJ67" s="128" t="s">
        <v>41</v>
      </c>
      <c r="HDK67" s="207"/>
      <c r="HDL67" s="134" t="s">
        <v>136</v>
      </c>
      <c r="HDM67" s="205"/>
      <c r="HDN67" s="206"/>
      <c r="HDO67" s="128" t="s">
        <v>24</v>
      </c>
      <c r="HDP67" s="129">
        <v>8150</v>
      </c>
      <c r="HDQ67" s="137">
        <v>85</v>
      </c>
      <c r="HDR67" s="138">
        <v>215</v>
      </c>
      <c r="HDS67" s="138">
        <v>75</v>
      </c>
      <c r="HDT67" s="137">
        <v>150</v>
      </c>
      <c r="HDU67" s="139">
        <f>SUM(HDP67:HDT67)</f>
        <v>8675</v>
      </c>
      <c r="HDV67" s="137">
        <v>200</v>
      </c>
      <c r="HDW67" s="139">
        <f>SUM(HDU67:HDV67)</f>
        <v>8875</v>
      </c>
      <c r="HDX67" s="132" t="s">
        <v>113</v>
      </c>
      <c r="HDY67" s="133">
        <v>45845</v>
      </c>
      <c r="HDZ67" s="128" t="s">
        <v>41</v>
      </c>
      <c r="HEA67" s="207"/>
      <c r="HEB67" s="134" t="s">
        <v>136</v>
      </c>
      <c r="HEC67" s="205"/>
      <c r="HED67" s="206"/>
      <c r="HEE67" s="128" t="s">
        <v>24</v>
      </c>
      <c r="HEF67" s="129">
        <v>8150</v>
      </c>
      <c r="HEG67" s="137">
        <v>85</v>
      </c>
      <c r="HEH67" s="138">
        <v>215</v>
      </c>
      <c r="HEI67" s="138">
        <v>75</v>
      </c>
      <c r="HEJ67" s="137">
        <v>150</v>
      </c>
      <c r="HEK67" s="139">
        <f>SUM(HEF67:HEJ67)</f>
        <v>8675</v>
      </c>
      <c r="HEL67" s="137">
        <v>200</v>
      </c>
      <c r="HEM67" s="139">
        <f>SUM(HEK67:HEL67)</f>
        <v>8875</v>
      </c>
      <c r="HEN67" s="132" t="s">
        <v>113</v>
      </c>
      <c r="HEO67" s="133">
        <v>45845</v>
      </c>
      <c r="HEP67" s="128" t="s">
        <v>41</v>
      </c>
      <c r="HEQ67" s="207"/>
      <c r="HER67" s="134" t="s">
        <v>136</v>
      </c>
      <c r="HES67" s="205"/>
      <c r="HET67" s="206"/>
      <c r="HEU67" s="128" t="s">
        <v>24</v>
      </c>
      <c r="HEV67" s="129">
        <v>8150</v>
      </c>
      <c r="HEW67" s="137">
        <v>85</v>
      </c>
      <c r="HEX67" s="138">
        <v>215</v>
      </c>
      <c r="HEY67" s="138">
        <v>75</v>
      </c>
      <c r="HEZ67" s="137">
        <v>150</v>
      </c>
      <c r="HFA67" s="139">
        <f>SUM(HEV67:HEZ67)</f>
        <v>8675</v>
      </c>
      <c r="HFB67" s="137">
        <v>200</v>
      </c>
      <c r="HFC67" s="139">
        <f>SUM(HFA67:HFB67)</f>
        <v>8875</v>
      </c>
      <c r="HFD67" s="132" t="s">
        <v>113</v>
      </c>
      <c r="HFE67" s="133">
        <v>45845</v>
      </c>
      <c r="HFF67" s="128" t="s">
        <v>41</v>
      </c>
      <c r="HFG67" s="207"/>
      <c r="HFH67" s="134" t="s">
        <v>136</v>
      </c>
      <c r="HFI67" s="205"/>
      <c r="HFJ67" s="206"/>
      <c r="HFK67" s="128" t="s">
        <v>24</v>
      </c>
      <c r="HFL67" s="129">
        <v>8150</v>
      </c>
      <c r="HFM67" s="137">
        <v>85</v>
      </c>
      <c r="HFN67" s="138">
        <v>215</v>
      </c>
      <c r="HFO67" s="138">
        <v>75</v>
      </c>
      <c r="HFP67" s="137">
        <v>150</v>
      </c>
      <c r="HFQ67" s="139">
        <f>SUM(HFL67:HFP67)</f>
        <v>8675</v>
      </c>
      <c r="HFR67" s="137">
        <v>200</v>
      </c>
      <c r="HFS67" s="139">
        <f>SUM(HFQ67:HFR67)</f>
        <v>8875</v>
      </c>
      <c r="HFT67" s="132" t="s">
        <v>113</v>
      </c>
      <c r="HFU67" s="133">
        <v>45845</v>
      </c>
      <c r="HFV67" s="128" t="s">
        <v>41</v>
      </c>
      <c r="HFW67" s="207"/>
      <c r="HFX67" s="134" t="s">
        <v>136</v>
      </c>
      <c r="HFY67" s="205"/>
      <c r="HFZ67" s="206"/>
      <c r="HGA67" s="128" t="s">
        <v>24</v>
      </c>
      <c r="HGB67" s="129">
        <v>8150</v>
      </c>
      <c r="HGC67" s="137">
        <v>85</v>
      </c>
      <c r="HGD67" s="138">
        <v>215</v>
      </c>
      <c r="HGE67" s="138">
        <v>75</v>
      </c>
      <c r="HGF67" s="137">
        <v>150</v>
      </c>
      <c r="HGG67" s="139">
        <f>SUM(HGB67:HGF67)</f>
        <v>8675</v>
      </c>
      <c r="HGH67" s="137">
        <v>200</v>
      </c>
      <c r="HGI67" s="139">
        <f>SUM(HGG67:HGH67)</f>
        <v>8875</v>
      </c>
      <c r="HGJ67" s="132" t="s">
        <v>113</v>
      </c>
      <c r="HGK67" s="133">
        <v>45845</v>
      </c>
      <c r="HGL67" s="128" t="s">
        <v>41</v>
      </c>
      <c r="HGM67" s="207"/>
      <c r="HGN67" s="134" t="s">
        <v>136</v>
      </c>
      <c r="HGO67" s="205"/>
      <c r="HGP67" s="206"/>
      <c r="HGQ67" s="128" t="s">
        <v>24</v>
      </c>
      <c r="HGR67" s="129">
        <v>8150</v>
      </c>
      <c r="HGS67" s="137">
        <v>85</v>
      </c>
      <c r="HGT67" s="138">
        <v>215</v>
      </c>
      <c r="HGU67" s="138">
        <v>75</v>
      </c>
      <c r="HGV67" s="137">
        <v>150</v>
      </c>
      <c r="HGW67" s="139">
        <f>SUM(HGR67:HGV67)</f>
        <v>8675</v>
      </c>
      <c r="HGX67" s="137">
        <v>200</v>
      </c>
      <c r="HGY67" s="139">
        <f>SUM(HGW67:HGX67)</f>
        <v>8875</v>
      </c>
      <c r="HGZ67" s="132" t="s">
        <v>113</v>
      </c>
      <c r="HHA67" s="133">
        <v>45845</v>
      </c>
      <c r="HHB67" s="128" t="s">
        <v>41</v>
      </c>
      <c r="HHC67" s="207"/>
      <c r="HHD67" s="134" t="s">
        <v>136</v>
      </c>
      <c r="HHE67" s="205"/>
      <c r="HHF67" s="206"/>
      <c r="HHG67" s="128" t="s">
        <v>24</v>
      </c>
      <c r="HHH67" s="129">
        <v>8150</v>
      </c>
      <c r="HHI67" s="137">
        <v>85</v>
      </c>
      <c r="HHJ67" s="138">
        <v>215</v>
      </c>
      <c r="HHK67" s="138">
        <v>75</v>
      </c>
      <c r="HHL67" s="137">
        <v>150</v>
      </c>
      <c r="HHM67" s="139">
        <f>SUM(HHH67:HHL67)</f>
        <v>8675</v>
      </c>
      <c r="HHN67" s="137">
        <v>200</v>
      </c>
      <c r="HHO67" s="139">
        <f>SUM(HHM67:HHN67)</f>
        <v>8875</v>
      </c>
      <c r="HHP67" s="132" t="s">
        <v>113</v>
      </c>
      <c r="HHQ67" s="133">
        <v>45845</v>
      </c>
      <c r="HHR67" s="128" t="s">
        <v>41</v>
      </c>
      <c r="HHS67" s="207"/>
      <c r="HHT67" s="134" t="s">
        <v>136</v>
      </c>
      <c r="HHU67" s="205"/>
      <c r="HHV67" s="206"/>
      <c r="HHW67" s="128" t="s">
        <v>24</v>
      </c>
      <c r="HHX67" s="129">
        <v>8150</v>
      </c>
      <c r="HHY67" s="137">
        <v>85</v>
      </c>
      <c r="HHZ67" s="138">
        <v>215</v>
      </c>
      <c r="HIA67" s="138">
        <v>75</v>
      </c>
      <c r="HIB67" s="137">
        <v>150</v>
      </c>
      <c r="HIC67" s="139">
        <f>SUM(HHX67:HIB67)</f>
        <v>8675</v>
      </c>
      <c r="HID67" s="137">
        <v>200</v>
      </c>
      <c r="HIE67" s="139">
        <f>SUM(HIC67:HID67)</f>
        <v>8875</v>
      </c>
      <c r="HIF67" s="132" t="s">
        <v>113</v>
      </c>
      <c r="HIG67" s="133">
        <v>45845</v>
      </c>
      <c r="HIH67" s="128" t="s">
        <v>41</v>
      </c>
      <c r="HII67" s="207"/>
      <c r="HIJ67" s="134" t="s">
        <v>136</v>
      </c>
      <c r="HIK67" s="205"/>
      <c r="HIL67" s="206"/>
      <c r="HIM67" s="128" t="s">
        <v>24</v>
      </c>
      <c r="HIN67" s="129">
        <v>8150</v>
      </c>
      <c r="HIO67" s="137">
        <v>85</v>
      </c>
      <c r="HIP67" s="138">
        <v>215</v>
      </c>
      <c r="HIQ67" s="138">
        <v>75</v>
      </c>
      <c r="HIR67" s="137">
        <v>150</v>
      </c>
      <c r="HIS67" s="139">
        <f>SUM(HIN67:HIR67)</f>
        <v>8675</v>
      </c>
      <c r="HIT67" s="137">
        <v>200</v>
      </c>
      <c r="HIU67" s="139">
        <f>SUM(HIS67:HIT67)</f>
        <v>8875</v>
      </c>
      <c r="HIV67" s="132" t="s">
        <v>113</v>
      </c>
      <c r="HIW67" s="133">
        <v>45845</v>
      </c>
      <c r="HIX67" s="128" t="s">
        <v>41</v>
      </c>
      <c r="HIY67" s="207"/>
      <c r="HIZ67" s="134" t="s">
        <v>136</v>
      </c>
      <c r="HJA67" s="205"/>
      <c r="HJB67" s="206"/>
      <c r="HJC67" s="128" t="s">
        <v>24</v>
      </c>
      <c r="HJD67" s="129">
        <v>8150</v>
      </c>
      <c r="HJE67" s="137">
        <v>85</v>
      </c>
      <c r="HJF67" s="138">
        <v>215</v>
      </c>
      <c r="HJG67" s="138">
        <v>75</v>
      </c>
      <c r="HJH67" s="137">
        <v>150</v>
      </c>
      <c r="HJI67" s="139">
        <f>SUM(HJD67:HJH67)</f>
        <v>8675</v>
      </c>
      <c r="HJJ67" s="137">
        <v>200</v>
      </c>
      <c r="HJK67" s="139">
        <f>SUM(HJI67:HJJ67)</f>
        <v>8875</v>
      </c>
      <c r="HJL67" s="132" t="s">
        <v>113</v>
      </c>
      <c r="HJM67" s="133">
        <v>45845</v>
      </c>
      <c r="HJN67" s="128" t="s">
        <v>41</v>
      </c>
      <c r="HJO67" s="207"/>
      <c r="HJP67" s="134" t="s">
        <v>136</v>
      </c>
      <c r="HJQ67" s="205"/>
      <c r="HJR67" s="206"/>
      <c r="HJS67" s="128" t="s">
        <v>24</v>
      </c>
      <c r="HJT67" s="129">
        <v>8150</v>
      </c>
      <c r="HJU67" s="137">
        <v>85</v>
      </c>
      <c r="HJV67" s="138">
        <v>215</v>
      </c>
      <c r="HJW67" s="138">
        <v>75</v>
      </c>
      <c r="HJX67" s="137">
        <v>150</v>
      </c>
      <c r="HJY67" s="139">
        <f>SUM(HJT67:HJX67)</f>
        <v>8675</v>
      </c>
      <c r="HJZ67" s="137">
        <v>200</v>
      </c>
      <c r="HKA67" s="139">
        <f>SUM(HJY67:HJZ67)</f>
        <v>8875</v>
      </c>
      <c r="HKB67" s="132" t="s">
        <v>113</v>
      </c>
      <c r="HKC67" s="133">
        <v>45845</v>
      </c>
      <c r="HKD67" s="128" t="s">
        <v>41</v>
      </c>
      <c r="HKE67" s="207"/>
      <c r="HKF67" s="134" t="s">
        <v>136</v>
      </c>
      <c r="HKG67" s="205"/>
      <c r="HKH67" s="206"/>
      <c r="HKI67" s="128" t="s">
        <v>24</v>
      </c>
      <c r="HKJ67" s="129">
        <v>8150</v>
      </c>
      <c r="HKK67" s="137">
        <v>85</v>
      </c>
      <c r="HKL67" s="138">
        <v>215</v>
      </c>
      <c r="HKM67" s="138">
        <v>75</v>
      </c>
      <c r="HKN67" s="137">
        <v>150</v>
      </c>
      <c r="HKO67" s="139">
        <f>SUM(HKJ67:HKN67)</f>
        <v>8675</v>
      </c>
      <c r="HKP67" s="137">
        <v>200</v>
      </c>
      <c r="HKQ67" s="139">
        <f>SUM(HKO67:HKP67)</f>
        <v>8875</v>
      </c>
      <c r="HKR67" s="132" t="s">
        <v>113</v>
      </c>
      <c r="HKS67" s="133">
        <v>45845</v>
      </c>
      <c r="HKT67" s="128" t="s">
        <v>41</v>
      </c>
      <c r="HKU67" s="207"/>
      <c r="HKV67" s="134" t="s">
        <v>136</v>
      </c>
      <c r="HKW67" s="205"/>
      <c r="HKX67" s="206"/>
      <c r="HKY67" s="128" t="s">
        <v>24</v>
      </c>
      <c r="HKZ67" s="129">
        <v>8150</v>
      </c>
      <c r="HLA67" s="137">
        <v>85</v>
      </c>
      <c r="HLB67" s="138">
        <v>215</v>
      </c>
      <c r="HLC67" s="138">
        <v>75</v>
      </c>
      <c r="HLD67" s="137">
        <v>150</v>
      </c>
      <c r="HLE67" s="139">
        <f>SUM(HKZ67:HLD67)</f>
        <v>8675</v>
      </c>
      <c r="HLF67" s="137">
        <v>200</v>
      </c>
      <c r="HLG67" s="139">
        <f>SUM(HLE67:HLF67)</f>
        <v>8875</v>
      </c>
      <c r="HLH67" s="132" t="s">
        <v>113</v>
      </c>
      <c r="HLI67" s="133">
        <v>45845</v>
      </c>
      <c r="HLJ67" s="128" t="s">
        <v>41</v>
      </c>
      <c r="HLK67" s="207"/>
      <c r="HLL67" s="134" t="s">
        <v>136</v>
      </c>
      <c r="HLM67" s="205"/>
      <c r="HLN67" s="206"/>
      <c r="HLO67" s="128" t="s">
        <v>24</v>
      </c>
      <c r="HLP67" s="129">
        <v>8150</v>
      </c>
      <c r="HLQ67" s="137">
        <v>85</v>
      </c>
      <c r="HLR67" s="138">
        <v>215</v>
      </c>
      <c r="HLS67" s="138">
        <v>75</v>
      </c>
      <c r="HLT67" s="137">
        <v>150</v>
      </c>
      <c r="HLU67" s="139">
        <f>SUM(HLP67:HLT67)</f>
        <v>8675</v>
      </c>
      <c r="HLV67" s="137">
        <v>200</v>
      </c>
      <c r="HLW67" s="139">
        <f>SUM(HLU67:HLV67)</f>
        <v>8875</v>
      </c>
      <c r="HLX67" s="132" t="s">
        <v>113</v>
      </c>
      <c r="HLY67" s="133">
        <v>45845</v>
      </c>
      <c r="HLZ67" s="128" t="s">
        <v>41</v>
      </c>
      <c r="HMA67" s="207"/>
      <c r="HMB67" s="134" t="s">
        <v>136</v>
      </c>
      <c r="HMC67" s="205"/>
      <c r="HMD67" s="206"/>
      <c r="HME67" s="128" t="s">
        <v>24</v>
      </c>
      <c r="HMF67" s="129">
        <v>8150</v>
      </c>
      <c r="HMG67" s="137">
        <v>85</v>
      </c>
      <c r="HMH67" s="138">
        <v>215</v>
      </c>
      <c r="HMI67" s="138">
        <v>75</v>
      </c>
      <c r="HMJ67" s="137">
        <v>150</v>
      </c>
      <c r="HMK67" s="139">
        <f>SUM(HMF67:HMJ67)</f>
        <v>8675</v>
      </c>
      <c r="HML67" s="137">
        <v>200</v>
      </c>
      <c r="HMM67" s="139">
        <f>SUM(HMK67:HML67)</f>
        <v>8875</v>
      </c>
      <c r="HMN67" s="132" t="s">
        <v>113</v>
      </c>
      <c r="HMO67" s="133">
        <v>45845</v>
      </c>
      <c r="HMP67" s="128" t="s">
        <v>41</v>
      </c>
      <c r="HMQ67" s="207"/>
      <c r="HMR67" s="134" t="s">
        <v>136</v>
      </c>
      <c r="HMS67" s="205"/>
      <c r="HMT67" s="206"/>
      <c r="HMU67" s="128" t="s">
        <v>24</v>
      </c>
      <c r="HMV67" s="129">
        <v>8150</v>
      </c>
      <c r="HMW67" s="137">
        <v>85</v>
      </c>
      <c r="HMX67" s="138">
        <v>215</v>
      </c>
      <c r="HMY67" s="138">
        <v>75</v>
      </c>
      <c r="HMZ67" s="137">
        <v>150</v>
      </c>
      <c r="HNA67" s="139">
        <f>SUM(HMV67:HMZ67)</f>
        <v>8675</v>
      </c>
      <c r="HNB67" s="137">
        <v>200</v>
      </c>
      <c r="HNC67" s="139">
        <f>SUM(HNA67:HNB67)</f>
        <v>8875</v>
      </c>
      <c r="HND67" s="132" t="s">
        <v>113</v>
      </c>
      <c r="HNE67" s="133">
        <v>45845</v>
      </c>
      <c r="HNF67" s="128" t="s">
        <v>41</v>
      </c>
      <c r="HNG67" s="207"/>
      <c r="HNH67" s="134" t="s">
        <v>136</v>
      </c>
      <c r="HNI67" s="205"/>
      <c r="HNJ67" s="206"/>
      <c r="HNK67" s="128" t="s">
        <v>24</v>
      </c>
      <c r="HNL67" s="129">
        <v>8150</v>
      </c>
      <c r="HNM67" s="137">
        <v>85</v>
      </c>
      <c r="HNN67" s="138">
        <v>215</v>
      </c>
      <c r="HNO67" s="138">
        <v>75</v>
      </c>
      <c r="HNP67" s="137">
        <v>150</v>
      </c>
      <c r="HNQ67" s="139">
        <f>SUM(HNL67:HNP67)</f>
        <v>8675</v>
      </c>
      <c r="HNR67" s="137">
        <v>200</v>
      </c>
      <c r="HNS67" s="139">
        <f>SUM(HNQ67:HNR67)</f>
        <v>8875</v>
      </c>
      <c r="HNT67" s="132" t="s">
        <v>113</v>
      </c>
      <c r="HNU67" s="133">
        <v>45845</v>
      </c>
      <c r="HNV67" s="128" t="s">
        <v>41</v>
      </c>
      <c r="HNW67" s="207"/>
      <c r="HNX67" s="134" t="s">
        <v>136</v>
      </c>
      <c r="HNY67" s="205"/>
      <c r="HNZ67" s="206"/>
      <c r="HOA67" s="128" t="s">
        <v>24</v>
      </c>
      <c r="HOB67" s="129">
        <v>8150</v>
      </c>
      <c r="HOC67" s="137">
        <v>85</v>
      </c>
      <c r="HOD67" s="138">
        <v>215</v>
      </c>
      <c r="HOE67" s="138">
        <v>75</v>
      </c>
      <c r="HOF67" s="137">
        <v>150</v>
      </c>
      <c r="HOG67" s="139">
        <f>SUM(HOB67:HOF67)</f>
        <v>8675</v>
      </c>
      <c r="HOH67" s="137">
        <v>200</v>
      </c>
      <c r="HOI67" s="139">
        <f>SUM(HOG67:HOH67)</f>
        <v>8875</v>
      </c>
      <c r="HOJ67" s="132" t="s">
        <v>113</v>
      </c>
      <c r="HOK67" s="133">
        <v>45845</v>
      </c>
      <c r="HOL67" s="128" t="s">
        <v>41</v>
      </c>
      <c r="HOM67" s="207"/>
      <c r="HON67" s="134" t="s">
        <v>136</v>
      </c>
      <c r="HOO67" s="205"/>
      <c r="HOP67" s="206"/>
      <c r="HOQ67" s="128" t="s">
        <v>24</v>
      </c>
      <c r="HOR67" s="129">
        <v>8150</v>
      </c>
      <c r="HOS67" s="137">
        <v>85</v>
      </c>
      <c r="HOT67" s="138">
        <v>215</v>
      </c>
      <c r="HOU67" s="138">
        <v>75</v>
      </c>
      <c r="HOV67" s="137">
        <v>150</v>
      </c>
      <c r="HOW67" s="139">
        <f>SUM(HOR67:HOV67)</f>
        <v>8675</v>
      </c>
      <c r="HOX67" s="137">
        <v>200</v>
      </c>
      <c r="HOY67" s="139">
        <f>SUM(HOW67:HOX67)</f>
        <v>8875</v>
      </c>
      <c r="HOZ67" s="132" t="s">
        <v>113</v>
      </c>
      <c r="HPA67" s="133">
        <v>45845</v>
      </c>
      <c r="HPB67" s="128" t="s">
        <v>41</v>
      </c>
      <c r="HPC67" s="207"/>
      <c r="HPD67" s="134" t="s">
        <v>136</v>
      </c>
      <c r="HPE67" s="205"/>
      <c r="HPF67" s="206"/>
      <c r="HPG67" s="128" t="s">
        <v>24</v>
      </c>
      <c r="HPH67" s="129">
        <v>8150</v>
      </c>
      <c r="HPI67" s="137">
        <v>85</v>
      </c>
      <c r="HPJ67" s="138">
        <v>215</v>
      </c>
      <c r="HPK67" s="138">
        <v>75</v>
      </c>
      <c r="HPL67" s="137">
        <v>150</v>
      </c>
      <c r="HPM67" s="139">
        <f>SUM(HPH67:HPL67)</f>
        <v>8675</v>
      </c>
      <c r="HPN67" s="137">
        <v>200</v>
      </c>
      <c r="HPO67" s="139">
        <f>SUM(HPM67:HPN67)</f>
        <v>8875</v>
      </c>
      <c r="HPP67" s="132" t="s">
        <v>113</v>
      </c>
      <c r="HPQ67" s="133">
        <v>45845</v>
      </c>
      <c r="HPR67" s="128" t="s">
        <v>41</v>
      </c>
      <c r="HPS67" s="207"/>
      <c r="HPT67" s="134" t="s">
        <v>136</v>
      </c>
      <c r="HPU67" s="205"/>
      <c r="HPV67" s="206"/>
      <c r="HPW67" s="128" t="s">
        <v>24</v>
      </c>
      <c r="HPX67" s="129">
        <v>8150</v>
      </c>
      <c r="HPY67" s="137">
        <v>85</v>
      </c>
      <c r="HPZ67" s="138">
        <v>215</v>
      </c>
      <c r="HQA67" s="138">
        <v>75</v>
      </c>
      <c r="HQB67" s="137">
        <v>150</v>
      </c>
      <c r="HQC67" s="139">
        <f>SUM(HPX67:HQB67)</f>
        <v>8675</v>
      </c>
      <c r="HQD67" s="137">
        <v>200</v>
      </c>
      <c r="HQE67" s="139">
        <f>SUM(HQC67:HQD67)</f>
        <v>8875</v>
      </c>
      <c r="HQF67" s="132" t="s">
        <v>113</v>
      </c>
      <c r="HQG67" s="133">
        <v>45845</v>
      </c>
      <c r="HQH67" s="128" t="s">
        <v>41</v>
      </c>
      <c r="HQI67" s="207"/>
      <c r="HQJ67" s="134" t="s">
        <v>136</v>
      </c>
      <c r="HQK67" s="205"/>
      <c r="HQL67" s="206"/>
      <c r="HQM67" s="128" t="s">
        <v>24</v>
      </c>
      <c r="HQN67" s="129">
        <v>8150</v>
      </c>
      <c r="HQO67" s="137">
        <v>85</v>
      </c>
      <c r="HQP67" s="138">
        <v>215</v>
      </c>
      <c r="HQQ67" s="138">
        <v>75</v>
      </c>
      <c r="HQR67" s="137">
        <v>150</v>
      </c>
      <c r="HQS67" s="139">
        <f>SUM(HQN67:HQR67)</f>
        <v>8675</v>
      </c>
      <c r="HQT67" s="137">
        <v>200</v>
      </c>
      <c r="HQU67" s="139">
        <f>SUM(HQS67:HQT67)</f>
        <v>8875</v>
      </c>
      <c r="HQV67" s="132" t="s">
        <v>113</v>
      </c>
      <c r="HQW67" s="133">
        <v>45845</v>
      </c>
      <c r="HQX67" s="128" t="s">
        <v>41</v>
      </c>
      <c r="HQY67" s="207"/>
      <c r="HQZ67" s="134" t="s">
        <v>136</v>
      </c>
      <c r="HRA67" s="205"/>
      <c r="HRB67" s="206"/>
      <c r="HRC67" s="128" t="s">
        <v>24</v>
      </c>
      <c r="HRD67" s="129">
        <v>8150</v>
      </c>
      <c r="HRE67" s="137">
        <v>85</v>
      </c>
      <c r="HRF67" s="138">
        <v>215</v>
      </c>
      <c r="HRG67" s="138">
        <v>75</v>
      </c>
      <c r="HRH67" s="137">
        <v>150</v>
      </c>
      <c r="HRI67" s="139">
        <f>SUM(HRD67:HRH67)</f>
        <v>8675</v>
      </c>
      <c r="HRJ67" s="137">
        <v>200</v>
      </c>
      <c r="HRK67" s="139">
        <f>SUM(HRI67:HRJ67)</f>
        <v>8875</v>
      </c>
      <c r="HRL67" s="132" t="s">
        <v>113</v>
      </c>
      <c r="HRM67" s="133">
        <v>45845</v>
      </c>
      <c r="HRN67" s="128" t="s">
        <v>41</v>
      </c>
      <c r="HRO67" s="207"/>
      <c r="HRP67" s="134" t="s">
        <v>136</v>
      </c>
      <c r="HRQ67" s="205"/>
      <c r="HRR67" s="206"/>
      <c r="HRS67" s="128" t="s">
        <v>24</v>
      </c>
      <c r="HRT67" s="129">
        <v>8150</v>
      </c>
      <c r="HRU67" s="137">
        <v>85</v>
      </c>
      <c r="HRV67" s="138">
        <v>215</v>
      </c>
      <c r="HRW67" s="138">
        <v>75</v>
      </c>
      <c r="HRX67" s="137">
        <v>150</v>
      </c>
      <c r="HRY67" s="139">
        <f>SUM(HRT67:HRX67)</f>
        <v>8675</v>
      </c>
      <c r="HRZ67" s="137">
        <v>200</v>
      </c>
      <c r="HSA67" s="139">
        <f>SUM(HRY67:HRZ67)</f>
        <v>8875</v>
      </c>
      <c r="HSB67" s="132" t="s">
        <v>113</v>
      </c>
      <c r="HSC67" s="133">
        <v>45845</v>
      </c>
      <c r="HSD67" s="128" t="s">
        <v>41</v>
      </c>
      <c r="HSE67" s="207"/>
      <c r="HSF67" s="134" t="s">
        <v>136</v>
      </c>
      <c r="HSG67" s="205"/>
      <c r="HSH67" s="206"/>
      <c r="HSI67" s="128" t="s">
        <v>24</v>
      </c>
      <c r="HSJ67" s="129">
        <v>8150</v>
      </c>
      <c r="HSK67" s="137">
        <v>85</v>
      </c>
      <c r="HSL67" s="138">
        <v>215</v>
      </c>
      <c r="HSM67" s="138">
        <v>75</v>
      </c>
      <c r="HSN67" s="137">
        <v>150</v>
      </c>
      <c r="HSO67" s="139">
        <f>SUM(HSJ67:HSN67)</f>
        <v>8675</v>
      </c>
      <c r="HSP67" s="137">
        <v>200</v>
      </c>
      <c r="HSQ67" s="139">
        <f>SUM(HSO67:HSP67)</f>
        <v>8875</v>
      </c>
      <c r="HSR67" s="132" t="s">
        <v>113</v>
      </c>
      <c r="HSS67" s="133">
        <v>45845</v>
      </c>
      <c r="HST67" s="128" t="s">
        <v>41</v>
      </c>
      <c r="HSU67" s="207"/>
      <c r="HSV67" s="134" t="s">
        <v>136</v>
      </c>
      <c r="HSW67" s="205"/>
      <c r="HSX67" s="206"/>
      <c r="HSY67" s="128" t="s">
        <v>24</v>
      </c>
      <c r="HSZ67" s="129">
        <v>8150</v>
      </c>
      <c r="HTA67" s="137">
        <v>85</v>
      </c>
      <c r="HTB67" s="138">
        <v>215</v>
      </c>
      <c r="HTC67" s="138">
        <v>75</v>
      </c>
      <c r="HTD67" s="137">
        <v>150</v>
      </c>
      <c r="HTE67" s="139">
        <f>SUM(HSZ67:HTD67)</f>
        <v>8675</v>
      </c>
      <c r="HTF67" s="137">
        <v>200</v>
      </c>
      <c r="HTG67" s="139">
        <f>SUM(HTE67:HTF67)</f>
        <v>8875</v>
      </c>
      <c r="HTH67" s="132" t="s">
        <v>113</v>
      </c>
      <c r="HTI67" s="133">
        <v>45845</v>
      </c>
      <c r="HTJ67" s="128" t="s">
        <v>41</v>
      </c>
      <c r="HTK67" s="207"/>
      <c r="HTL67" s="134" t="s">
        <v>136</v>
      </c>
      <c r="HTM67" s="205"/>
      <c r="HTN67" s="206"/>
      <c r="HTO67" s="128" t="s">
        <v>24</v>
      </c>
      <c r="HTP67" s="129">
        <v>8150</v>
      </c>
      <c r="HTQ67" s="137">
        <v>85</v>
      </c>
      <c r="HTR67" s="138">
        <v>215</v>
      </c>
      <c r="HTS67" s="138">
        <v>75</v>
      </c>
      <c r="HTT67" s="137">
        <v>150</v>
      </c>
      <c r="HTU67" s="139">
        <f>SUM(HTP67:HTT67)</f>
        <v>8675</v>
      </c>
      <c r="HTV67" s="137">
        <v>200</v>
      </c>
      <c r="HTW67" s="139">
        <f>SUM(HTU67:HTV67)</f>
        <v>8875</v>
      </c>
      <c r="HTX67" s="132" t="s">
        <v>113</v>
      </c>
      <c r="HTY67" s="133">
        <v>45845</v>
      </c>
      <c r="HTZ67" s="128" t="s">
        <v>41</v>
      </c>
      <c r="HUA67" s="207"/>
      <c r="HUB67" s="134" t="s">
        <v>136</v>
      </c>
      <c r="HUC67" s="205"/>
      <c r="HUD67" s="206"/>
      <c r="HUE67" s="128" t="s">
        <v>24</v>
      </c>
      <c r="HUF67" s="129">
        <v>8150</v>
      </c>
      <c r="HUG67" s="137">
        <v>85</v>
      </c>
      <c r="HUH67" s="138">
        <v>215</v>
      </c>
      <c r="HUI67" s="138">
        <v>75</v>
      </c>
      <c r="HUJ67" s="137">
        <v>150</v>
      </c>
      <c r="HUK67" s="139">
        <f>SUM(HUF67:HUJ67)</f>
        <v>8675</v>
      </c>
      <c r="HUL67" s="137">
        <v>200</v>
      </c>
      <c r="HUM67" s="139">
        <f>SUM(HUK67:HUL67)</f>
        <v>8875</v>
      </c>
      <c r="HUN67" s="132" t="s">
        <v>113</v>
      </c>
      <c r="HUO67" s="133">
        <v>45845</v>
      </c>
      <c r="HUP67" s="128" t="s">
        <v>41</v>
      </c>
      <c r="HUQ67" s="207"/>
      <c r="HUR67" s="134" t="s">
        <v>136</v>
      </c>
      <c r="HUS67" s="205"/>
      <c r="HUT67" s="206"/>
      <c r="HUU67" s="128" t="s">
        <v>24</v>
      </c>
      <c r="HUV67" s="129">
        <v>8150</v>
      </c>
      <c r="HUW67" s="137">
        <v>85</v>
      </c>
      <c r="HUX67" s="138">
        <v>215</v>
      </c>
      <c r="HUY67" s="138">
        <v>75</v>
      </c>
      <c r="HUZ67" s="137">
        <v>150</v>
      </c>
      <c r="HVA67" s="139">
        <f>SUM(HUV67:HUZ67)</f>
        <v>8675</v>
      </c>
      <c r="HVB67" s="137">
        <v>200</v>
      </c>
      <c r="HVC67" s="139">
        <f>SUM(HVA67:HVB67)</f>
        <v>8875</v>
      </c>
      <c r="HVD67" s="132" t="s">
        <v>113</v>
      </c>
      <c r="HVE67" s="133">
        <v>45845</v>
      </c>
      <c r="HVF67" s="128" t="s">
        <v>41</v>
      </c>
      <c r="HVG67" s="207"/>
      <c r="HVH67" s="134" t="s">
        <v>136</v>
      </c>
      <c r="HVI67" s="205"/>
      <c r="HVJ67" s="206"/>
      <c r="HVK67" s="128" t="s">
        <v>24</v>
      </c>
      <c r="HVL67" s="129">
        <v>8150</v>
      </c>
      <c r="HVM67" s="137">
        <v>85</v>
      </c>
      <c r="HVN67" s="138">
        <v>215</v>
      </c>
      <c r="HVO67" s="138">
        <v>75</v>
      </c>
      <c r="HVP67" s="137">
        <v>150</v>
      </c>
      <c r="HVQ67" s="139">
        <f>SUM(HVL67:HVP67)</f>
        <v>8675</v>
      </c>
      <c r="HVR67" s="137">
        <v>200</v>
      </c>
      <c r="HVS67" s="139">
        <f>SUM(HVQ67:HVR67)</f>
        <v>8875</v>
      </c>
      <c r="HVT67" s="132" t="s">
        <v>113</v>
      </c>
      <c r="HVU67" s="133">
        <v>45845</v>
      </c>
      <c r="HVV67" s="128" t="s">
        <v>41</v>
      </c>
      <c r="HVW67" s="207"/>
      <c r="HVX67" s="134" t="s">
        <v>136</v>
      </c>
      <c r="HVY67" s="205"/>
      <c r="HVZ67" s="206"/>
      <c r="HWA67" s="128" t="s">
        <v>24</v>
      </c>
      <c r="HWB67" s="129">
        <v>8150</v>
      </c>
      <c r="HWC67" s="137">
        <v>85</v>
      </c>
      <c r="HWD67" s="138">
        <v>215</v>
      </c>
      <c r="HWE67" s="138">
        <v>75</v>
      </c>
      <c r="HWF67" s="137">
        <v>150</v>
      </c>
      <c r="HWG67" s="139">
        <f>SUM(HWB67:HWF67)</f>
        <v>8675</v>
      </c>
      <c r="HWH67" s="137">
        <v>200</v>
      </c>
      <c r="HWI67" s="139">
        <f>SUM(HWG67:HWH67)</f>
        <v>8875</v>
      </c>
      <c r="HWJ67" s="132" t="s">
        <v>113</v>
      </c>
      <c r="HWK67" s="133">
        <v>45845</v>
      </c>
      <c r="HWL67" s="128" t="s">
        <v>41</v>
      </c>
      <c r="HWM67" s="207"/>
      <c r="HWN67" s="134" t="s">
        <v>136</v>
      </c>
      <c r="HWO67" s="205"/>
      <c r="HWP67" s="206"/>
      <c r="HWQ67" s="128" t="s">
        <v>24</v>
      </c>
      <c r="HWR67" s="129">
        <v>8150</v>
      </c>
      <c r="HWS67" s="137">
        <v>85</v>
      </c>
      <c r="HWT67" s="138">
        <v>215</v>
      </c>
      <c r="HWU67" s="138">
        <v>75</v>
      </c>
      <c r="HWV67" s="137">
        <v>150</v>
      </c>
      <c r="HWW67" s="139">
        <f>SUM(HWR67:HWV67)</f>
        <v>8675</v>
      </c>
      <c r="HWX67" s="137">
        <v>200</v>
      </c>
      <c r="HWY67" s="139">
        <f>SUM(HWW67:HWX67)</f>
        <v>8875</v>
      </c>
      <c r="HWZ67" s="132" t="s">
        <v>113</v>
      </c>
      <c r="HXA67" s="133">
        <v>45845</v>
      </c>
      <c r="HXB67" s="128" t="s">
        <v>41</v>
      </c>
      <c r="HXC67" s="207"/>
      <c r="HXD67" s="134" t="s">
        <v>136</v>
      </c>
      <c r="HXE67" s="205"/>
      <c r="HXF67" s="206"/>
      <c r="HXG67" s="128" t="s">
        <v>24</v>
      </c>
      <c r="HXH67" s="129">
        <v>8150</v>
      </c>
      <c r="HXI67" s="137">
        <v>85</v>
      </c>
      <c r="HXJ67" s="138">
        <v>215</v>
      </c>
      <c r="HXK67" s="138">
        <v>75</v>
      </c>
      <c r="HXL67" s="137">
        <v>150</v>
      </c>
      <c r="HXM67" s="139">
        <f>SUM(HXH67:HXL67)</f>
        <v>8675</v>
      </c>
      <c r="HXN67" s="137">
        <v>200</v>
      </c>
      <c r="HXO67" s="139">
        <f>SUM(HXM67:HXN67)</f>
        <v>8875</v>
      </c>
      <c r="HXP67" s="132" t="s">
        <v>113</v>
      </c>
      <c r="HXQ67" s="133">
        <v>45845</v>
      </c>
      <c r="HXR67" s="128" t="s">
        <v>41</v>
      </c>
      <c r="HXS67" s="207"/>
      <c r="HXT67" s="134" t="s">
        <v>136</v>
      </c>
      <c r="HXU67" s="205"/>
      <c r="HXV67" s="206"/>
      <c r="HXW67" s="128" t="s">
        <v>24</v>
      </c>
      <c r="HXX67" s="129">
        <v>8150</v>
      </c>
      <c r="HXY67" s="137">
        <v>85</v>
      </c>
      <c r="HXZ67" s="138">
        <v>215</v>
      </c>
      <c r="HYA67" s="138">
        <v>75</v>
      </c>
      <c r="HYB67" s="137">
        <v>150</v>
      </c>
      <c r="HYC67" s="139">
        <f>SUM(HXX67:HYB67)</f>
        <v>8675</v>
      </c>
      <c r="HYD67" s="137">
        <v>200</v>
      </c>
      <c r="HYE67" s="139">
        <f>SUM(HYC67:HYD67)</f>
        <v>8875</v>
      </c>
      <c r="HYF67" s="132" t="s">
        <v>113</v>
      </c>
      <c r="HYG67" s="133">
        <v>45845</v>
      </c>
      <c r="HYH67" s="128" t="s">
        <v>41</v>
      </c>
      <c r="HYI67" s="207"/>
      <c r="HYJ67" s="134" t="s">
        <v>136</v>
      </c>
      <c r="HYK67" s="205"/>
      <c r="HYL67" s="206"/>
      <c r="HYM67" s="128" t="s">
        <v>24</v>
      </c>
      <c r="HYN67" s="129">
        <v>8150</v>
      </c>
      <c r="HYO67" s="137">
        <v>85</v>
      </c>
      <c r="HYP67" s="138">
        <v>215</v>
      </c>
      <c r="HYQ67" s="138">
        <v>75</v>
      </c>
      <c r="HYR67" s="137">
        <v>150</v>
      </c>
      <c r="HYS67" s="139">
        <f>SUM(HYN67:HYR67)</f>
        <v>8675</v>
      </c>
      <c r="HYT67" s="137">
        <v>200</v>
      </c>
      <c r="HYU67" s="139">
        <f>SUM(HYS67:HYT67)</f>
        <v>8875</v>
      </c>
      <c r="HYV67" s="132" t="s">
        <v>113</v>
      </c>
      <c r="HYW67" s="133">
        <v>45845</v>
      </c>
      <c r="HYX67" s="128" t="s">
        <v>41</v>
      </c>
      <c r="HYY67" s="207"/>
      <c r="HYZ67" s="134" t="s">
        <v>136</v>
      </c>
      <c r="HZA67" s="205"/>
      <c r="HZB67" s="206"/>
      <c r="HZC67" s="128" t="s">
        <v>24</v>
      </c>
      <c r="HZD67" s="129">
        <v>8150</v>
      </c>
      <c r="HZE67" s="137">
        <v>85</v>
      </c>
      <c r="HZF67" s="138">
        <v>215</v>
      </c>
      <c r="HZG67" s="138">
        <v>75</v>
      </c>
      <c r="HZH67" s="137">
        <v>150</v>
      </c>
      <c r="HZI67" s="139">
        <f>SUM(HZD67:HZH67)</f>
        <v>8675</v>
      </c>
      <c r="HZJ67" s="137">
        <v>200</v>
      </c>
      <c r="HZK67" s="139">
        <f>SUM(HZI67:HZJ67)</f>
        <v>8875</v>
      </c>
      <c r="HZL67" s="132" t="s">
        <v>113</v>
      </c>
      <c r="HZM67" s="133">
        <v>45845</v>
      </c>
      <c r="HZN67" s="128" t="s">
        <v>41</v>
      </c>
      <c r="HZO67" s="207"/>
      <c r="HZP67" s="134" t="s">
        <v>136</v>
      </c>
      <c r="HZQ67" s="205"/>
      <c r="HZR67" s="206"/>
      <c r="HZS67" s="128" t="s">
        <v>24</v>
      </c>
      <c r="HZT67" s="129">
        <v>8150</v>
      </c>
      <c r="HZU67" s="137">
        <v>85</v>
      </c>
      <c r="HZV67" s="138">
        <v>215</v>
      </c>
      <c r="HZW67" s="138">
        <v>75</v>
      </c>
      <c r="HZX67" s="137">
        <v>150</v>
      </c>
      <c r="HZY67" s="139">
        <f>SUM(HZT67:HZX67)</f>
        <v>8675</v>
      </c>
      <c r="HZZ67" s="137">
        <v>200</v>
      </c>
      <c r="IAA67" s="139">
        <f>SUM(HZY67:HZZ67)</f>
        <v>8875</v>
      </c>
      <c r="IAB67" s="132" t="s">
        <v>113</v>
      </c>
      <c r="IAC67" s="133">
        <v>45845</v>
      </c>
      <c r="IAD67" s="128" t="s">
        <v>41</v>
      </c>
      <c r="IAE67" s="207"/>
      <c r="IAF67" s="134" t="s">
        <v>136</v>
      </c>
      <c r="IAG67" s="205"/>
      <c r="IAH67" s="206"/>
      <c r="IAI67" s="128" t="s">
        <v>24</v>
      </c>
      <c r="IAJ67" s="129">
        <v>8150</v>
      </c>
      <c r="IAK67" s="137">
        <v>85</v>
      </c>
      <c r="IAL67" s="138">
        <v>215</v>
      </c>
      <c r="IAM67" s="138">
        <v>75</v>
      </c>
      <c r="IAN67" s="137">
        <v>150</v>
      </c>
      <c r="IAO67" s="139">
        <f>SUM(IAJ67:IAN67)</f>
        <v>8675</v>
      </c>
      <c r="IAP67" s="137">
        <v>200</v>
      </c>
      <c r="IAQ67" s="139">
        <f>SUM(IAO67:IAP67)</f>
        <v>8875</v>
      </c>
      <c r="IAR67" s="132" t="s">
        <v>113</v>
      </c>
      <c r="IAS67" s="133">
        <v>45845</v>
      </c>
      <c r="IAT67" s="128" t="s">
        <v>41</v>
      </c>
      <c r="IAU67" s="207"/>
      <c r="IAV67" s="134" t="s">
        <v>136</v>
      </c>
      <c r="IAW67" s="205"/>
      <c r="IAX67" s="206"/>
      <c r="IAY67" s="128" t="s">
        <v>24</v>
      </c>
      <c r="IAZ67" s="129">
        <v>8150</v>
      </c>
      <c r="IBA67" s="137">
        <v>85</v>
      </c>
      <c r="IBB67" s="138">
        <v>215</v>
      </c>
      <c r="IBC67" s="138">
        <v>75</v>
      </c>
      <c r="IBD67" s="137">
        <v>150</v>
      </c>
      <c r="IBE67" s="139">
        <f>SUM(IAZ67:IBD67)</f>
        <v>8675</v>
      </c>
      <c r="IBF67" s="137">
        <v>200</v>
      </c>
      <c r="IBG67" s="139">
        <f>SUM(IBE67:IBF67)</f>
        <v>8875</v>
      </c>
      <c r="IBH67" s="132" t="s">
        <v>113</v>
      </c>
      <c r="IBI67" s="133">
        <v>45845</v>
      </c>
      <c r="IBJ67" s="128" t="s">
        <v>41</v>
      </c>
      <c r="IBK67" s="207"/>
      <c r="IBL67" s="134" t="s">
        <v>136</v>
      </c>
      <c r="IBM67" s="205"/>
      <c r="IBN67" s="206"/>
      <c r="IBO67" s="128" t="s">
        <v>24</v>
      </c>
      <c r="IBP67" s="129">
        <v>8150</v>
      </c>
      <c r="IBQ67" s="137">
        <v>85</v>
      </c>
      <c r="IBR67" s="138">
        <v>215</v>
      </c>
      <c r="IBS67" s="138">
        <v>75</v>
      </c>
      <c r="IBT67" s="137">
        <v>150</v>
      </c>
      <c r="IBU67" s="139">
        <f>SUM(IBP67:IBT67)</f>
        <v>8675</v>
      </c>
      <c r="IBV67" s="137">
        <v>200</v>
      </c>
      <c r="IBW67" s="139">
        <f>SUM(IBU67:IBV67)</f>
        <v>8875</v>
      </c>
      <c r="IBX67" s="132" t="s">
        <v>113</v>
      </c>
      <c r="IBY67" s="133">
        <v>45845</v>
      </c>
      <c r="IBZ67" s="128" t="s">
        <v>41</v>
      </c>
      <c r="ICA67" s="207"/>
      <c r="ICB67" s="134" t="s">
        <v>136</v>
      </c>
      <c r="ICC67" s="205"/>
      <c r="ICD67" s="206"/>
      <c r="ICE67" s="128" t="s">
        <v>24</v>
      </c>
      <c r="ICF67" s="129">
        <v>8150</v>
      </c>
      <c r="ICG67" s="137">
        <v>85</v>
      </c>
      <c r="ICH67" s="138">
        <v>215</v>
      </c>
      <c r="ICI67" s="138">
        <v>75</v>
      </c>
      <c r="ICJ67" s="137">
        <v>150</v>
      </c>
      <c r="ICK67" s="139">
        <f>SUM(ICF67:ICJ67)</f>
        <v>8675</v>
      </c>
      <c r="ICL67" s="137">
        <v>200</v>
      </c>
      <c r="ICM67" s="139">
        <f>SUM(ICK67:ICL67)</f>
        <v>8875</v>
      </c>
      <c r="ICN67" s="132" t="s">
        <v>113</v>
      </c>
      <c r="ICO67" s="133">
        <v>45845</v>
      </c>
      <c r="ICP67" s="128" t="s">
        <v>41</v>
      </c>
      <c r="ICQ67" s="207"/>
      <c r="ICR67" s="134" t="s">
        <v>136</v>
      </c>
      <c r="ICS67" s="205"/>
      <c r="ICT67" s="206"/>
      <c r="ICU67" s="128" t="s">
        <v>24</v>
      </c>
      <c r="ICV67" s="129">
        <v>8150</v>
      </c>
      <c r="ICW67" s="137">
        <v>85</v>
      </c>
      <c r="ICX67" s="138">
        <v>215</v>
      </c>
      <c r="ICY67" s="138">
        <v>75</v>
      </c>
      <c r="ICZ67" s="137">
        <v>150</v>
      </c>
      <c r="IDA67" s="139">
        <f>SUM(ICV67:ICZ67)</f>
        <v>8675</v>
      </c>
      <c r="IDB67" s="137">
        <v>200</v>
      </c>
      <c r="IDC67" s="139">
        <f>SUM(IDA67:IDB67)</f>
        <v>8875</v>
      </c>
      <c r="IDD67" s="132" t="s">
        <v>113</v>
      </c>
      <c r="IDE67" s="133">
        <v>45845</v>
      </c>
      <c r="IDF67" s="128" t="s">
        <v>41</v>
      </c>
      <c r="IDG67" s="207"/>
      <c r="IDH67" s="134" t="s">
        <v>136</v>
      </c>
      <c r="IDI67" s="205"/>
      <c r="IDJ67" s="206"/>
      <c r="IDK67" s="128" t="s">
        <v>24</v>
      </c>
      <c r="IDL67" s="129">
        <v>8150</v>
      </c>
      <c r="IDM67" s="137">
        <v>85</v>
      </c>
      <c r="IDN67" s="138">
        <v>215</v>
      </c>
      <c r="IDO67" s="138">
        <v>75</v>
      </c>
      <c r="IDP67" s="137">
        <v>150</v>
      </c>
      <c r="IDQ67" s="139">
        <f>SUM(IDL67:IDP67)</f>
        <v>8675</v>
      </c>
      <c r="IDR67" s="137">
        <v>200</v>
      </c>
      <c r="IDS67" s="139">
        <f>SUM(IDQ67:IDR67)</f>
        <v>8875</v>
      </c>
      <c r="IDT67" s="132" t="s">
        <v>113</v>
      </c>
      <c r="IDU67" s="133">
        <v>45845</v>
      </c>
      <c r="IDV67" s="128" t="s">
        <v>41</v>
      </c>
      <c r="IDW67" s="207"/>
      <c r="IDX67" s="134" t="s">
        <v>136</v>
      </c>
      <c r="IDY67" s="205"/>
      <c r="IDZ67" s="206"/>
      <c r="IEA67" s="128" t="s">
        <v>24</v>
      </c>
      <c r="IEB67" s="129">
        <v>8150</v>
      </c>
      <c r="IEC67" s="137">
        <v>85</v>
      </c>
      <c r="IED67" s="138">
        <v>215</v>
      </c>
      <c r="IEE67" s="138">
        <v>75</v>
      </c>
      <c r="IEF67" s="137">
        <v>150</v>
      </c>
      <c r="IEG67" s="139">
        <f>SUM(IEB67:IEF67)</f>
        <v>8675</v>
      </c>
      <c r="IEH67" s="137">
        <v>200</v>
      </c>
      <c r="IEI67" s="139">
        <f>SUM(IEG67:IEH67)</f>
        <v>8875</v>
      </c>
      <c r="IEJ67" s="132" t="s">
        <v>113</v>
      </c>
      <c r="IEK67" s="133">
        <v>45845</v>
      </c>
      <c r="IEL67" s="128" t="s">
        <v>41</v>
      </c>
      <c r="IEM67" s="207"/>
      <c r="IEN67" s="134" t="s">
        <v>136</v>
      </c>
      <c r="IEO67" s="205"/>
      <c r="IEP67" s="206"/>
      <c r="IEQ67" s="128" t="s">
        <v>24</v>
      </c>
      <c r="IER67" s="129">
        <v>8150</v>
      </c>
      <c r="IES67" s="137">
        <v>85</v>
      </c>
      <c r="IET67" s="138">
        <v>215</v>
      </c>
      <c r="IEU67" s="138">
        <v>75</v>
      </c>
      <c r="IEV67" s="137">
        <v>150</v>
      </c>
      <c r="IEW67" s="139">
        <f>SUM(IER67:IEV67)</f>
        <v>8675</v>
      </c>
      <c r="IEX67" s="137">
        <v>200</v>
      </c>
      <c r="IEY67" s="139">
        <f>SUM(IEW67:IEX67)</f>
        <v>8875</v>
      </c>
      <c r="IEZ67" s="132" t="s">
        <v>113</v>
      </c>
      <c r="IFA67" s="133">
        <v>45845</v>
      </c>
      <c r="IFB67" s="128" t="s">
        <v>41</v>
      </c>
      <c r="IFC67" s="207"/>
      <c r="IFD67" s="134" t="s">
        <v>136</v>
      </c>
      <c r="IFE67" s="205"/>
      <c r="IFF67" s="206"/>
      <c r="IFG67" s="128" t="s">
        <v>24</v>
      </c>
      <c r="IFH67" s="129">
        <v>8150</v>
      </c>
      <c r="IFI67" s="137">
        <v>85</v>
      </c>
      <c r="IFJ67" s="138">
        <v>215</v>
      </c>
      <c r="IFK67" s="138">
        <v>75</v>
      </c>
      <c r="IFL67" s="137">
        <v>150</v>
      </c>
      <c r="IFM67" s="139">
        <f>SUM(IFH67:IFL67)</f>
        <v>8675</v>
      </c>
      <c r="IFN67" s="137">
        <v>200</v>
      </c>
      <c r="IFO67" s="139">
        <f>SUM(IFM67:IFN67)</f>
        <v>8875</v>
      </c>
      <c r="IFP67" s="132" t="s">
        <v>113</v>
      </c>
      <c r="IFQ67" s="133">
        <v>45845</v>
      </c>
      <c r="IFR67" s="128" t="s">
        <v>41</v>
      </c>
      <c r="IFS67" s="207"/>
      <c r="IFT67" s="134" t="s">
        <v>136</v>
      </c>
      <c r="IFU67" s="205"/>
      <c r="IFV67" s="206"/>
      <c r="IFW67" s="128" t="s">
        <v>24</v>
      </c>
      <c r="IFX67" s="129">
        <v>8150</v>
      </c>
      <c r="IFY67" s="137">
        <v>85</v>
      </c>
      <c r="IFZ67" s="138">
        <v>215</v>
      </c>
      <c r="IGA67" s="138">
        <v>75</v>
      </c>
      <c r="IGB67" s="137">
        <v>150</v>
      </c>
      <c r="IGC67" s="139">
        <f>SUM(IFX67:IGB67)</f>
        <v>8675</v>
      </c>
      <c r="IGD67" s="137">
        <v>200</v>
      </c>
      <c r="IGE67" s="139">
        <f>SUM(IGC67:IGD67)</f>
        <v>8875</v>
      </c>
      <c r="IGF67" s="132" t="s">
        <v>113</v>
      </c>
      <c r="IGG67" s="133">
        <v>45845</v>
      </c>
      <c r="IGH67" s="128" t="s">
        <v>41</v>
      </c>
      <c r="IGI67" s="207"/>
      <c r="IGJ67" s="134" t="s">
        <v>136</v>
      </c>
      <c r="IGK67" s="205"/>
      <c r="IGL67" s="206"/>
      <c r="IGM67" s="128" t="s">
        <v>24</v>
      </c>
      <c r="IGN67" s="129">
        <v>8150</v>
      </c>
      <c r="IGO67" s="137">
        <v>85</v>
      </c>
      <c r="IGP67" s="138">
        <v>215</v>
      </c>
      <c r="IGQ67" s="138">
        <v>75</v>
      </c>
      <c r="IGR67" s="137">
        <v>150</v>
      </c>
      <c r="IGS67" s="139">
        <f>SUM(IGN67:IGR67)</f>
        <v>8675</v>
      </c>
      <c r="IGT67" s="137">
        <v>200</v>
      </c>
      <c r="IGU67" s="139">
        <f>SUM(IGS67:IGT67)</f>
        <v>8875</v>
      </c>
      <c r="IGV67" s="132" t="s">
        <v>113</v>
      </c>
      <c r="IGW67" s="133">
        <v>45845</v>
      </c>
      <c r="IGX67" s="128" t="s">
        <v>41</v>
      </c>
      <c r="IGY67" s="207"/>
      <c r="IGZ67" s="134" t="s">
        <v>136</v>
      </c>
      <c r="IHA67" s="205"/>
      <c r="IHB67" s="206"/>
      <c r="IHC67" s="128" t="s">
        <v>24</v>
      </c>
      <c r="IHD67" s="129">
        <v>8150</v>
      </c>
      <c r="IHE67" s="137">
        <v>85</v>
      </c>
      <c r="IHF67" s="138">
        <v>215</v>
      </c>
      <c r="IHG67" s="138">
        <v>75</v>
      </c>
      <c r="IHH67" s="137">
        <v>150</v>
      </c>
      <c r="IHI67" s="139">
        <f>SUM(IHD67:IHH67)</f>
        <v>8675</v>
      </c>
      <c r="IHJ67" s="137">
        <v>200</v>
      </c>
      <c r="IHK67" s="139">
        <f>SUM(IHI67:IHJ67)</f>
        <v>8875</v>
      </c>
      <c r="IHL67" s="132" t="s">
        <v>113</v>
      </c>
      <c r="IHM67" s="133">
        <v>45845</v>
      </c>
      <c r="IHN67" s="128" t="s">
        <v>41</v>
      </c>
      <c r="IHO67" s="207"/>
      <c r="IHP67" s="134" t="s">
        <v>136</v>
      </c>
      <c r="IHQ67" s="205"/>
      <c r="IHR67" s="206"/>
      <c r="IHS67" s="128" t="s">
        <v>24</v>
      </c>
      <c r="IHT67" s="129">
        <v>8150</v>
      </c>
      <c r="IHU67" s="137">
        <v>85</v>
      </c>
      <c r="IHV67" s="138">
        <v>215</v>
      </c>
      <c r="IHW67" s="138">
        <v>75</v>
      </c>
      <c r="IHX67" s="137">
        <v>150</v>
      </c>
      <c r="IHY67" s="139">
        <f>SUM(IHT67:IHX67)</f>
        <v>8675</v>
      </c>
      <c r="IHZ67" s="137">
        <v>200</v>
      </c>
      <c r="IIA67" s="139">
        <f>SUM(IHY67:IHZ67)</f>
        <v>8875</v>
      </c>
      <c r="IIB67" s="132" t="s">
        <v>113</v>
      </c>
      <c r="IIC67" s="133">
        <v>45845</v>
      </c>
      <c r="IID67" s="128" t="s">
        <v>41</v>
      </c>
      <c r="IIE67" s="207"/>
      <c r="IIF67" s="134" t="s">
        <v>136</v>
      </c>
      <c r="IIG67" s="205"/>
      <c r="IIH67" s="206"/>
      <c r="III67" s="128" t="s">
        <v>24</v>
      </c>
      <c r="IIJ67" s="129">
        <v>8150</v>
      </c>
      <c r="IIK67" s="137">
        <v>85</v>
      </c>
      <c r="IIL67" s="138">
        <v>215</v>
      </c>
      <c r="IIM67" s="138">
        <v>75</v>
      </c>
      <c r="IIN67" s="137">
        <v>150</v>
      </c>
      <c r="IIO67" s="139">
        <f>SUM(IIJ67:IIN67)</f>
        <v>8675</v>
      </c>
      <c r="IIP67" s="137">
        <v>200</v>
      </c>
      <c r="IIQ67" s="139">
        <f>SUM(IIO67:IIP67)</f>
        <v>8875</v>
      </c>
      <c r="IIR67" s="132" t="s">
        <v>113</v>
      </c>
      <c r="IIS67" s="133">
        <v>45845</v>
      </c>
      <c r="IIT67" s="128" t="s">
        <v>41</v>
      </c>
      <c r="IIU67" s="207"/>
      <c r="IIV67" s="134" t="s">
        <v>136</v>
      </c>
      <c r="IIW67" s="205"/>
      <c r="IIX67" s="206"/>
      <c r="IIY67" s="128" t="s">
        <v>24</v>
      </c>
      <c r="IIZ67" s="129">
        <v>8150</v>
      </c>
      <c r="IJA67" s="137">
        <v>85</v>
      </c>
      <c r="IJB67" s="138">
        <v>215</v>
      </c>
      <c r="IJC67" s="138">
        <v>75</v>
      </c>
      <c r="IJD67" s="137">
        <v>150</v>
      </c>
      <c r="IJE67" s="139">
        <f>SUM(IIZ67:IJD67)</f>
        <v>8675</v>
      </c>
      <c r="IJF67" s="137">
        <v>200</v>
      </c>
      <c r="IJG67" s="139">
        <f>SUM(IJE67:IJF67)</f>
        <v>8875</v>
      </c>
      <c r="IJH67" s="132" t="s">
        <v>113</v>
      </c>
      <c r="IJI67" s="133">
        <v>45845</v>
      </c>
      <c r="IJJ67" s="128" t="s">
        <v>41</v>
      </c>
      <c r="IJK67" s="207"/>
      <c r="IJL67" s="134" t="s">
        <v>136</v>
      </c>
      <c r="IJM67" s="205"/>
      <c r="IJN67" s="206"/>
      <c r="IJO67" s="128" t="s">
        <v>24</v>
      </c>
      <c r="IJP67" s="129">
        <v>8150</v>
      </c>
      <c r="IJQ67" s="137">
        <v>85</v>
      </c>
      <c r="IJR67" s="138">
        <v>215</v>
      </c>
      <c r="IJS67" s="138">
        <v>75</v>
      </c>
      <c r="IJT67" s="137">
        <v>150</v>
      </c>
      <c r="IJU67" s="139">
        <f>SUM(IJP67:IJT67)</f>
        <v>8675</v>
      </c>
      <c r="IJV67" s="137">
        <v>200</v>
      </c>
      <c r="IJW67" s="139">
        <f>SUM(IJU67:IJV67)</f>
        <v>8875</v>
      </c>
      <c r="IJX67" s="132" t="s">
        <v>113</v>
      </c>
      <c r="IJY67" s="133">
        <v>45845</v>
      </c>
      <c r="IJZ67" s="128" t="s">
        <v>41</v>
      </c>
      <c r="IKA67" s="207"/>
      <c r="IKB67" s="134" t="s">
        <v>136</v>
      </c>
      <c r="IKC67" s="205"/>
      <c r="IKD67" s="206"/>
      <c r="IKE67" s="128" t="s">
        <v>24</v>
      </c>
      <c r="IKF67" s="129">
        <v>8150</v>
      </c>
      <c r="IKG67" s="137">
        <v>85</v>
      </c>
      <c r="IKH67" s="138">
        <v>215</v>
      </c>
      <c r="IKI67" s="138">
        <v>75</v>
      </c>
      <c r="IKJ67" s="137">
        <v>150</v>
      </c>
      <c r="IKK67" s="139">
        <f>SUM(IKF67:IKJ67)</f>
        <v>8675</v>
      </c>
      <c r="IKL67" s="137">
        <v>200</v>
      </c>
      <c r="IKM67" s="139">
        <f>SUM(IKK67:IKL67)</f>
        <v>8875</v>
      </c>
      <c r="IKN67" s="132" t="s">
        <v>113</v>
      </c>
      <c r="IKO67" s="133">
        <v>45845</v>
      </c>
      <c r="IKP67" s="128" t="s">
        <v>41</v>
      </c>
      <c r="IKQ67" s="207"/>
      <c r="IKR67" s="134" t="s">
        <v>136</v>
      </c>
      <c r="IKS67" s="205"/>
      <c r="IKT67" s="206"/>
      <c r="IKU67" s="128" t="s">
        <v>24</v>
      </c>
      <c r="IKV67" s="129">
        <v>8150</v>
      </c>
      <c r="IKW67" s="137">
        <v>85</v>
      </c>
      <c r="IKX67" s="138">
        <v>215</v>
      </c>
      <c r="IKY67" s="138">
        <v>75</v>
      </c>
      <c r="IKZ67" s="137">
        <v>150</v>
      </c>
      <c r="ILA67" s="139">
        <f>SUM(IKV67:IKZ67)</f>
        <v>8675</v>
      </c>
      <c r="ILB67" s="137">
        <v>200</v>
      </c>
      <c r="ILC67" s="139">
        <f>SUM(ILA67:ILB67)</f>
        <v>8875</v>
      </c>
      <c r="ILD67" s="132" t="s">
        <v>113</v>
      </c>
      <c r="ILE67" s="133">
        <v>45845</v>
      </c>
      <c r="ILF67" s="128" t="s">
        <v>41</v>
      </c>
      <c r="ILG67" s="207"/>
      <c r="ILH67" s="134" t="s">
        <v>136</v>
      </c>
      <c r="ILI67" s="205"/>
      <c r="ILJ67" s="206"/>
      <c r="ILK67" s="128" t="s">
        <v>24</v>
      </c>
      <c r="ILL67" s="129">
        <v>8150</v>
      </c>
      <c r="ILM67" s="137">
        <v>85</v>
      </c>
      <c r="ILN67" s="138">
        <v>215</v>
      </c>
      <c r="ILO67" s="138">
        <v>75</v>
      </c>
      <c r="ILP67" s="137">
        <v>150</v>
      </c>
      <c r="ILQ67" s="139">
        <f>SUM(ILL67:ILP67)</f>
        <v>8675</v>
      </c>
      <c r="ILR67" s="137">
        <v>200</v>
      </c>
      <c r="ILS67" s="139">
        <f>SUM(ILQ67:ILR67)</f>
        <v>8875</v>
      </c>
      <c r="ILT67" s="132" t="s">
        <v>113</v>
      </c>
      <c r="ILU67" s="133">
        <v>45845</v>
      </c>
      <c r="ILV67" s="128" t="s">
        <v>41</v>
      </c>
      <c r="ILW67" s="207"/>
      <c r="ILX67" s="134" t="s">
        <v>136</v>
      </c>
      <c r="ILY67" s="205"/>
      <c r="ILZ67" s="206"/>
      <c r="IMA67" s="128" t="s">
        <v>24</v>
      </c>
      <c r="IMB67" s="129">
        <v>8150</v>
      </c>
      <c r="IMC67" s="137">
        <v>85</v>
      </c>
      <c r="IMD67" s="138">
        <v>215</v>
      </c>
      <c r="IME67" s="138">
        <v>75</v>
      </c>
      <c r="IMF67" s="137">
        <v>150</v>
      </c>
      <c r="IMG67" s="139">
        <f>SUM(IMB67:IMF67)</f>
        <v>8675</v>
      </c>
      <c r="IMH67" s="137">
        <v>200</v>
      </c>
      <c r="IMI67" s="139">
        <f>SUM(IMG67:IMH67)</f>
        <v>8875</v>
      </c>
      <c r="IMJ67" s="132" t="s">
        <v>113</v>
      </c>
      <c r="IMK67" s="133">
        <v>45845</v>
      </c>
      <c r="IML67" s="128" t="s">
        <v>41</v>
      </c>
      <c r="IMM67" s="207"/>
      <c r="IMN67" s="134" t="s">
        <v>136</v>
      </c>
      <c r="IMO67" s="205"/>
      <c r="IMP67" s="206"/>
      <c r="IMQ67" s="128" t="s">
        <v>24</v>
      </c>
      <c r="IMR67" s="129">
        <v>8150</v>
      </c>
      <c r="IMS67" s="137">
        <v>85</v>
      </c>
      <c r="IMT67" s="138">
        <v>215</v>
      </c>
      <c r="IMU67" s="138">
        <v>75</v>
      </c>
      <c r="IMV67" s="137">
        <v>150</v>
      </c>
      <c r="IMW67" s="139">
        <f>SUM(IMR67:IMV67)</f>
        <v>8675</v>
      </c>
      <c r="IMX67" s="137">
        <v>200</v>
      </c>
      <c r="IMY67" s="139">
        <f>SUM(IMW67:IMX67)</f>
        <v>8875</v>
      </c>
      <c r="IMZ67" s="132" t="s">
        <v>113</v>
      </c>
      <c r="INA67" s="133">
        <v>45845</v>
      </c>
      <c r="INB67" s="128" t="s">
        <v>41</v>
      </c>
      <c r="INC67" s="207"/>
      <c r="IND67" s="134" t="s">
        <v>136</v>
      </c>
      <c r="INE67" s="205"/>
      <c r="INF67" s="206"/>
      <c r="ING67" s="128" t="s">
        <v>24</v>
      </c>
      <c r="INH67" s="129">
        <v>8150</v>
      </c>
      <c r="INI67" s="137">
        <v>85</v>
      </c>
      <c r="INJ67" s="138">
        <v>215</v>
      </c>
      <c r="INK67" s="138">
        <v>75</v>
      </c>
      <c r="INL67" s="137">
        <v>150</v>
      </c>
      <c r="INM67" s="139">
        <f>SUM(INH67:INL67)</f>
        <v>8675</v>
      </c>
      <c r="INN67" s="137">
        <v>200</v>
      </c>
      <c r="INO67" s="139">
        <f>SUM(INM67:INN67)</f>
        <v>8875</v>
      </c>
      <c r="INP67" s="132" t="s">
        <v>113</v>
      </c>
      <c r="INQ67" s="133">
        <v>45845</v>
      </c>
      <c r="INR67" s="128" t="s">
        <v>41</v>
      </c>
      <c r="INS67" s="207"/>
      <c r="INT67" s="134" t="s">
        <v>136</v>
      </c>
      <c r="INU67" s="205"/>
      <c r="INV67" s="206"/>
      <c r="INW67" s="128" t="s">
        <v>24</v>
      </c>
      <c r="INX67" s="129">
        <v>8150</v>
      </c>
      <c r="INY67" s="137">
        <v>85</v>
      </c>
      <c r="INZ67" s="138">
        <v>215</v>
      </c>
      <c r="IOA67" s="138">
        <v>75</v>
      </c>
      <c r="IOB67" s="137">
        <v>150</v>
      </c>
      <c r="IOC67" s="139">
        <f>SUM(INX67:IOB67)</f>
        <v>8675</v>
      </c>
      <c r="IOD67" s="137">
        <v>200</v>
      </c>
      <c r="IOE67" s="139">
        <f>SUM(IOC67:IOD67)</f>
        <v>8875</v>
      </c>
      <c r="IOF67" s="132" t="s">
        <v>113</v>
      </c>
      <c r="IOG67" s="133">
        <v>45845</v>
      </c>
      <c r="IOH67" s="128" t="s">
        <v>41</v>
      </c>
      <c r="IOI67" s="207"/>
      <c r="IOJ67" s="134" t="s">
        <v>136</v>
      </c>
      <c r="IOK67" s="205"/>
      <c r="IOL67" s="206"/>
      <c r="IOM67" s="128" t="s">
        <v>24</v>
      </c>
      <c r="ION67" s="129">
        <v>8150</v>
      </c>
      <c r="IOO67" s="137">
        <v>85</v>
      </c>
      <c r="IOP67" s="138">
        <v>215</v>
      </c>
      <c r="IOQ67" s="138">
        <v>75</v>
      </c>
      <c r="IOR67" s="137">
        <v>150</v>
      </c>
      <c r="IOS67" s="139">
        <f>SUM(ION67:IOR67)</f>
        <v>8675</v>
      </c>
      <c r="IOT67" s="137">
        <v>200</v>
      </c>
      <c r="IOU67" s="139">
        <f>SUM(IOS67:IOT67)</f>
        <v>8875</v>
      </c>
      <c r="IOV67" s="132" t="s">
        <v>113</v>
      </c>
      <c r="IOW67" s="133">
        <v>45845</v>
      </c>
      <c r="IOX67" s="128" t="s">
        <v>41</v>
      </c>
      <c r="IOY67" s="207"/>
      <c r="IOZ67" s="134" t="s">
        <v>136</v>
      </c>
      <c r="IPA67" s="205"/>
      <c r="IPB67" s="206"/>
      <c r="IPC67" s="128" t="s">
        <v>24</v>
      </c>
      <c r="IPD67" s="129">
        <v>8150</v>
      </c>
      <c r="IPE67" s="137">
        <v>85</v>
      </c>
      <c r="IPF67" s="138">
        <v>215</v>
      </c>
      <c r="IPG67" s="138">
        <v>75</v>
      </c>
      <c r="IPH67" s="137">
        <v>150</v>
      </c>
      <c r="IPI67" s="139">
        <f>SUM(IPD67:IPH67)</f>
        <v>8675</v>
      </c>
      <c r="IPJ67" s="137">
        <v>200</v>
      </c>
      <c r="IPK67" s="139">
        <f>SUM(IPI67:IPJ67)</f>
        <v>8875</v>
      </c>
      <c r="IPL67" s="132" t="s">
        <v>113</v>
      </c>
      <c r="IPM67" s="133">
        <v>45845</v>
      </c>
      <c r="IPN67" s="128" t="s">
        <v>41</v>
      </c>
      <c r="IPO67" s="207"/>
      <c r="IPP67" s="134" t="s">
        <v>136</v>
      </c>
      <c r="IPQ67" s="205"/>
      <c r="IPR67" s="206"/>
      <c r="IPS67" s="128" t="s">
        <v>24</v>
      </c>
      <c r="IPT67" s="129">
        <v>8150</v>
      </c>
      <c r="IPU67" s="137">
        <v>85</v>
      </c>
      <c r="IPV67" s="138">
        <v>215</v>
      </c>
      <c r="IPW67" s="138">
        <v>75</v>
      </c>
      <c r="IPX67" s="137">
        <v>150</v>
      </c>
      <c r="IPY67" s="139">
        <f>SUM(IPT67:IPX67)</f>
        <v>8675</v>
      </c>
      <c r="IPZ67" s="137">
        <v>200</v>
      </c>
      <c r="IQA67" s="139">
        <f>SUM(IPY67:IPZ67)</f>
        <v>8875</v>
      </c>
      <c r="IQB67" s="132" t="s">
        <v>113</v>
      </c>
      <c r="IQC67" s="133">
        <v>45845</v>
      </c>
      <c r="IQD67" s="128" t="s">
        <v>41</v>
      </c>
      <c r="IQE67" s="207"/>
      <c r="IQF67" s="134" t="s">
        <v>136</v>
      </c>
      <c r="IQG67" s="205"/>
      <c r="IQH67" s="206"/>
      <c r="IQI67" s="128" t="s">
        <v>24</v>
      </c>
      <c r="IQJ67" s="129">
        <v>8150</v>
      </c>
      <c r="IQK67" s="137">
        <v>85</v>
      </c>
      <c r="IQL67" s="138">
        <v>215</v>
      </c>
      <c r="IQM67" s="138">
        <v>75</v>
      </c>
      <c r="IQN67" s="137">
        <v>150</v>
      </c>
      <c r="IQO67" s="139">
        <f>SUM(IQJ67:IQN67)</f>
        <v>8675</v>
      </c>
      <c r="IQP67" s="137">
        <v>200</v>
      </c>
      <c r="IQQ67" s="139">
        <f>SUM(IQO67:IQP67)</f>
        <v>8875</v>
      </c>
      <c r="IQR67" s="132" t="s">
        <v>113</v>
      </c>
      <c r="IQS67" s="133">
        <v>45845</v>
      </c>
      <c r="IQT67" s="128" t="s">
        <v>41</v>
      </c>
      <c r="IQU67" s="207"/>
      <c r="IQV67" s="134" t="s">
        <v>136</v>
      </c>
      <c r="IQW67" s="205"/>
      <c r="IQX67" s="206"/>
      <c r="IQY67" s="128" t="s">
        <v>24</v>
      </c>
      <c r="IQZ67" s="129">
        <v>8150</v>
      </c>
      <c r="IRA67" s="137">
        <v>85</v>
      </c>
      <c r="IRB67" s="138">
        <v>215</v>
      </c>
      <c r="IRC67" s="138">
        <v>75</v>
      </c>
      <c r="IRD67" s="137">
        <v>150</v>
      </c>
      <c r="IRE67" s="139">
        <f>SUM(IQZ67:IRD67)</f>
        <v>8675</v>
      </c>
      <c r="IRF67" s="137">
        <v>200</v>
      </c>
      <c r="IRG67" s="139">
        <f>SUM(IRE67:IRF67)</f>
        <v>8875</v>
      </c>
      <c r="IRH67" s="132" t="s">
        <v>113</v>
      </c>
      <c r="IRI67" s="133">
        <v>45845</v>
      </c>
      <c r="IRJ67" s="128" t="s">
        <v>41</v>
      </c>
      <c r="IRK67" s="207"/>
      <c r="IRL67" s="134" t="s">
        <v>136</v>
      </c>
      <c r="IRM67" s="205"/>
      <c r="IRN67" s="206"/>
      <c r="IRO67" s="128" t="s">
        <v>24</v>
      </c>
      <c r="IRP67" s="129">
        <v>8150</v>
      </c>
      <c r="IRQ67" s="137">
        <v>85</v>
      </c>
      <c r="IRR67" s="138">
        <v>215</v>
      </c>
      <c r="IRS67" s="138">
        <v>75</v>
      </c>
      <c r="IRT67" s="137">
        <v>150</v>
      </c>
      <c r="IRU67" s="139">
        <f>SUM(IRP67:IRT67)</f>
        <v>8675</v>
      </c>
      <c r="IRV67" s="137">
        <v>200</v>
      </c>
      <c r="IRW67" s="139">
        <f>SUM(IRU67:IRV67)</f>
        <v>8875</v>
      </c>
      <c r="IRX67" s="132" t="s">
        <v>113</v>
      </c>
      <c r="IRY67" s="133">
        <v>45845</v>
      </c>
      <c r="IRZ67" s="128" t="s">
        <v>41</v>
      </c>
      <c r="ISA67" s="207"/>
      <c r="ISB67" s="134" t="s">
        <v>136</v>
      </c>
      <c r="ISC67" s="205"/>
      <c r="ISD67" s="206"/>
      <c r="ISE67" s="128" t="s">
        <v>24</v>
      </c>
      <c r="ISF67" s="129">
        <v>8150</v>
      </c>
      <c r="ISG67" s="137">
        <v>85</v>
      </c>
      <c r="ISH67" s="138">
        <v>215</v>
      </c>
      <c r="ISI67" s="138">
        <v>75</v>
      </c>
      <c r="ISJ67" s="137">
        <v>150</v>
      </c>
      <c r="ISK67" s="139">
        <f>SUM(ISF67:ISJ67)</f>
        <v>8675</v>
      </c>
      <c r="ISL67" s="137">
        <v>200</v>
      </c>
      <c r="ISM67" s="139">
        <f>SUM(ISK67:ISL67)</f>
        <v>8875</v>
      </c>
      <c r="ISN67" s="132" t="s">
        <v>113</v>
      </c>
      <c r="ISO67" s="133">
        <v>45845</v>
      </c>
      <c r="ISP67" s="128" t="s">
        <v>41</v>
      </c>
      <c r="ISQ67" s="207"/>
      <c r="ISR67" s="134" t="s">
        <v>136</v>
      </c>
      <c r="ISS67" s="205"/>
      <c r="IST67" s="206"/>
      <c r="ISU67" s="128" t="s">
        <v>24</v>
      </c>
      <c r="ISV67" s="129">
        <v>8150</v>
      </c>
      <c r="ISW67" s="137">
        <v>85</v>
      </c>
      <c r="ISX67" s="138">
        <v>215</v>
      </c>
      <c r="ISY67" s="138">
        <v>75</v>
      </c>
      <c r="ISZ67" s="137">
        <v>150</v>
      </c>
      <c r="ITA67" s="139">
        <f>SUM(ISV67:ISZ67)</f>
        <v>8675</v>
      </c>
      <c r="ITB67" s="137">
        <v>200</v>
      </c>
      <c r="ITC67" s="139">
        <f>SUM(ITA67:ITB67)</f>
        <v>8875</v>
      </c>
      <c r="ITD67" s="132" t="s">
        <v>113</v>
      </c>
      <c r="ITE67" s="133">
        <v>45845</v>
      </c>
      <c r="ITF67" s="128" t="s">
        <v>41</v>
      </c>
      <c r="ITG67" s="207"/>
      <c r="ITH67" s="134" t="s">
        <v>136</v>
      </c>
      <c r="ITI67" s="205"/>
      <c r="ITJ67" s="206"/>
      <c r="ITK67" s="128" t="s">
        <v>24</v>
      </c>
      <c r="ITL67" s="129">
        <v>8150</v>
      </c>
      <c r="ITM67" s="137">
        <v>85</v>
      </c>
      <c r="ITN67" s="138">
        <v>215</v>
      </c>
      <c r="ITO67" s="138">
        <v>75</v>
      </c>
      <c r="ITP67" s="137">
        <v>150</v>
      </c>
      <c r="ITQ67" s="139">
        <f>SUM(ITL67:ITP67)</f>
        <v>8675</v>
      </c>
      <c r="ITR67" s="137">
        <v>200</v>
      </c>
      <c r="ITS67" s="139">
        <f>SUM(ITQ67:ITR67)</f>
        <v>8875</v>
      </c>
      <c r="ITT67" s="132" t="s">
        <v>113</v>
      </c>
      <c r="ITU67" s="133">
        <v>45845</v>
      </c>
      <c r="ITV67" s="128" t="s">
        <v>41</v>
      </c>
      <c r="ITW67" s="207"/>
      <c r="ITX67" s="134" t="s">
        <v>136</v>
      </c>
      <c r="ITY67" s="205"/>
      <c r="ITZ67" s="206"/>
      <c r="IUA67" s="128" t="s">
        <v>24</v>
      </c>
      <c r="IUB67" s="129">
        <v>8150</v>
      </c>
      <c r="IUC67" s="137">
        <v>85</v>
      </c>
      <c r="IUD67" s="138">
        <v>215</v>
      </c>
      <c r="IUE67" s="138">
        <v>75</v>
      </c>
      <c r="IUF67" s="137">
        <v>150</v>
      </c>
      <c r="IUG67" s="139">
        <f>SUM(IUB67:IUF67)</f>
        <v>8675</v>
      </c>
      <c r="IUH67" s="137">
        <v>200</v>
      </c>
      <c r="IUI67" s="139">
        <f>SUM(IUG67:IUH67)</f>
        <v>8875</v>
      </c>
      <c r="IUJ67" s="132" t="s">
        <v>113</v>
      </c>
      <c r="IUK67" s="133">
        <v>45845</v>
      </c>
      <c r="IUL67" s="128" t="s">
        <v>41</v>
      </c>
      <c r="IUM67" s="207"/>
      <c r="IUN67" s="134" t="s">
        <v>136</v>
      </c>
      <c r="IUO67" s="205"/>
      <c r="IUP67" s="206"/>
      <c r="IUQ67" s="128" t="s">
        <v>24</v>
      </c>
      <c r="IUR67" s="129">
        <v>8150</v>
      </c>
      <c r="IUS67" s="137">
        <v>85</v>
      </c>
      <c r="IUT67" s="138">
        <v>215</v>
      </c>
      <c r="IUU67" s="138">
        <v>75</v>
      </c>
      <c r="IUV67" s="137">
        <v>150</v>
      </c>
      <c r="IUW67" s="139">
        <f>SUM(IUR67:IUV67)</f>
        <v>8675</v>
      </c>
      <c r="IUX67" s="137">
        <v>200</v>
      </c>
      <c r="IUY67" s="139">
        <f>SUM(IUW67:IUX67)</f>
        <v>8875</v>
      </c>
      <c r="IUZ67" s="132" t="s">
        <v>113</v>
      </c>
      <c r="IVA67" s="133">
        <v>45845</v>
      </c>
      <c r="IVB67" s="128" t="s">
        <v>41</v>
      </c>
      <c r="IVC67" s="207"/>
      <c r="IVD67" s="134" t="s">
        <v>136</v>
      </c>
      <c r="IVE67" s="205"/>
      <c r="IVF67" s="206"/>
      <c r="IVG67" s="128" t="s">
        <v>24</v>
      </c>
      <c r="IVH67" s="129">
        <v>8150</v>
      </c>
      <c r="IVI67" s="137">
        <v>85</v>
      </c>
      <c r="IVJ67" s="138">
        <v>215</v>
      </c>
      <c r="IVK67" s="138">
        <v>75</v>
      </c>
      <c r="IVL67" s="137">
        <v>150</v>
      </c>
      <c r="IVM67" s="139">
        <f>SUM(IVH67:IVL67)</f>
        <v>8675</v>
      </c>
      <c r="IVN67" s="137">
        <v>200</v>
      </c>
      <c r="IVO67" s="139">
        <f>SUM(IVM67:IVN67)</f>
        <v>8875</v>
      </c>
      <c r="IVP67" s="132" t="s">
        <v>113</v>
      </c>
      <c r="IVQ67" s="133">
        <v>45845</v>
      </c>
      <c r="IVR67" s="128" t="s">
        <v>41</v>
      </c>
      <c r="IVS67" s="207"/>
      <c r="IVT67" s="134" t="s">
        <v>136</v>
      </c>
      <c r="IVU67" s="205"/>
      <c r="IVV67" s="206"/>
      <c r="IVW67" s="128" t="s">
        <v>24</v>
      </c>
      <c r="IVX67" s="129">
        <v>8150</v>
      </c>
      <c r="IVY67" s="137">
        <v>85</v>
      </c>
      <c r="IVZ67" s="138">
        <v>215</v>
      </c>
      <c r="IWA67" s="138">
        <v>75</v>
      </c>
      <c r="IWB67" s="137">
        <v>150</v>
      </c>
      <c r="IWC67" s="139">
        <f>SUM(IVX67:IWB67)</f>
        <v>8675</v>
      </c>
      <c r="IWD67" s="137">
        <v>200</v>
      </c>
      <c r="IWE67" s="139">
        <f>SUM(IWC67:IWD67)</f>
        <v>8875</v>
      </c>
      <c r="IWF67" s="132" t="s">
        <v>113</v>
      </c>
      <c r="IWG67" s="133">
        <v>45845</v>
      </c>
      <c r="IWH67" s="128" t="s">
        <v>41</v>
      </c>
      <c r="IWI67" s="207"/>
      <c r="IWJ67" s="134" t="s">
        <v>136</v>
      </c>
      <c r="IWK67" s="205"/>
      <c r="IWL67" s="206"/>
      <c r="IWM67" s="128" t="s">
        <v>24</v>
      </c>
      <c r="IWN67" s="129">
        <v>8150</v>
      </c>
      <c r="IWO67" s="137">
        <v>85</v>
      </c>
      <c r="IWP67" s="138">
        <v>215</v>
      </c>
      <c r="IWQ67" s="138">
        <v>75</v>
      </c>
      <c r="IWR67" s="137">
        <v>150</v>
      </c>
      <c r="IWS67" s="139">
        <f>SUM(IWN67:IWR67)</f>
        <v>8675</v>
      </c>
      <c r="IWT67" s="137">
        <v>200</v>
      </c>
      <c r="IWU67" s="139">
        <f>SUM(IWS67:IWT67)</f>
        <v>8875</v>
      </c>
      <c r="IWV67" s="132" t="s">
        <v>113</v>
      </c>
      <c r="IWW67" s="133">
        <v>45845</v>
      </c>
      <c r="IWX67" s="128" t="s">
        <v>41</v>
      </c>
      <c r="IWY67" s="207"/>
      <c r="IWZ67" s="134" t="s">
        <v>136</v>
      </c>
      <c r="IXA67" s="205"/>
      <c r="IXB67" s="206"/>
      <c r="IXC67" s="128" t="s">
        <v>24</v>
      </c>
      <c r="IXD67" s="129">
        <v>8150</v>
      </c>
      <c r="IXE67" s="137">
        <v>85</v>
      </c>
      <c r="IXF67" s="138">
        <v>215</v>
      </c>
      <c r="IXG67" s="138">
        <v>75</v>
      </c>
      <c r="IXH67" s="137">
        <v>150</v>
      </c>
      <c r="IXI67" s="139">
        <f>SUM(IXD67:IXH67)</f>
        <v>8675</v>
      </c>
      <c r="IXJ67" s="137">
        <v>200</v>
      </c>
      <c r="IXK67" s="139">
        <f>SUM(IXI67:IXJ67)</f>
        <v>8875</v>
      </c>
      <c r="IXL67" s="132" t="s">
        <v>113</v>
      </c>
      <c r="IXM67" s="133">
        <v>45845</v>
      </c>
      <c r="IXN67" s="128" t="s">
        <v>41</v>
      </c>
      <c r="IXO67" s="207"/>
      <c r="IXP67" s="134" t="s">
        <v>136</v>
      </c>
      <c r="IXQ67" s="205"/>
      <c r="IXR67" s="206"/>
      <c r="IXS67" s="128" t="s">
        <v>24</v>
      </c>
      <c r="IXT67" s="129">
        <v>8150</v>
      </c>
      <c r="IXU67" s="137">
        <v>85</v>
      </c>
      <c r="IXV67" s="138">
        <v>215</v>
      </c>
      <c r="IXW67" s="138">
        <v>75</v>
      </c>
      <c r="IXX67" s="137">
        <v>150</v>
      </c>
      <c r="IXY67" s="139">
        <f>SUM(IXT67:IXX67)</f>
        <v>8675</v>
      </c>
      <c r="IXZ67" s="137">
        <v>200</v>
      </c>
      <c r="IYA67" s="139">
        <f>SUM(IXY67:IXZ67)</f>
        <v>8875</v>
      </c>
      <c r="IYB67" s="132" t="s">
        <v>113</v>
      </c>
      <c r="IYC67" s="133">
        <v>45845</v>
      </c>
      <c r="IYD67" s="128" t="s">
        <v>41</v>
      </c>
      <c r="IYE67" s="207"/>
      <c r="IYF67" s="134" t="s">
        <v>136</v>
      </c>
      <c r="IYG67" s="205"/>
      <c r="IYH67" s="206"/>
      <c r="IYI67" s="128" t="s">
        <v>24</v>
      </c>
      <c r="IYJ67" s="129">
        <v>8150</v>
      </c>
      <c r="IYK67" s="137">
        <v>85</v>
      </c>
      <c r="IYL67" s="138">
        <v>215</v>
      </c>
      <c r="IYM67" s="138">
        <v>75</v>
      </c>
      <c r="IYN67" s="137">
        <v>150</v>
      </c>
      <c r="IYO67" s="139">
        <f>SUM(IYJ67:IYN67)</f>
        <v>8675</v>
      </c>
      <c r="IYP67" s="137">
        <v>200</v>
      </c>
      <c r="IYQ67" s="139">
        <f>SUM(IYO67:IYP67)</f>
        <v>8875</v>
      </c>
      <c r="IYR67" s="132" t="s">
        <v>113</v>
      </c>
      <c r="IYS67" s="133">
        <v>45845</v>
      </c>
      <c r="IYT67" s="128" t="s">
        <v>41</v>
      </c>
      <c r="IYU67" s="207"/>
      <c r="IYV67" s="134" t="s">
        <v>136</v>
      </c>
      <c r="IYW67" s="205"/>
      <c r="IYX67" s="206"/>
      <c r="IYY67" s="128" t="s">
        <v>24</v>
      </c>
      <c r="IYZ67" s="129">
        <v>8150</v>
      </c>
      <c r="IZA67" s="137">
        <v>85</v>
      </c>
      <c r="IZB67" s="138">
        <v>215</v>
      </c>
      <c r="IZC67" s="138">
        <v>75</v>
      </c>
      <c r="IZD67" s="137">
        <v>150</v>
      </c>
      <c r="IZE67" s="139">
        <f>SUM(IYZ67:IZD67)</f>
        <v>8675</v>
      </c>
      <c r="IZF67" s="137">
        <v>200</v>
      </c>
      <c r="IZG67" s="139">
        <f>SUM(IZE67:IZF67)</f>
        <v>8875</v>
      </c>
      <c r="IZH67" s="132" t="s">
        <v>113</v>
      </c>
      <c r="IZI67" s="133">
        <v>45845</v>
      </c>
      <c r="IZJ67" s="128" t="s">
        <v>41</v>
      </c>
      <c r="IZK67" s="207"/>
      <c r="IZL67" s="134" t="s">
        <v>136</v>
      </c>
      <c r="IZM67" s="205"/>
      <c r="IZN67" s="206"/>
      <c r="IZO67" s="128" t="s">
        <v>24</v>
      </c>
      <c r="IZP67" s="129">
        <v>8150</v>
      </c>
      <c r="IZQ67" s="137">
        <v>85</v>
      </c>
      <c r="IZR67" s="138">
        <v>215</v>
      </c>
      <c r="IZS67" s="138">
        <v>75</v>
      </c>
      <c r="IZT67" s="137">
        <v>150</v>
      </c>
      <c r="IZU67" s="139">
        <f>SUM(IZP67:IZT67)</f>
        <v>8675</v>
      </c>
      <c r="IZV67" s="137">
        <v>200</v>
      </c>
      <c r="IZW67" s="139">
        <f>SUM(IZU67:IZV67)</f>
        <v>8875</v>
      </c>
      <c r="IZX67" s="132" t="s">
        <v>113</v>
      </c>
      <c r="IZY67" s="133">
        <v>45845</v>
      </c>
      <c r="IZZ67" s="128" t="s">
        <v>41</v>
      </c>
      <c r="JAA67" s="207"/>
      <c r="JAB67" s="134" t="s">
        <v>136</v>
      </c>
      <c r="JAC67" s="205"/>
      <c r="JAD67" s="206"/>
      <c r="JAE67" s="128" t="s">
        <v>24</v>
      </c>
      <c r="JAF67" s="129">
        <v>8150</v>
      </c>
      <c r="JAG67" s="137">
        <v>85</v>
      </c>
      <c r="JAH67" s="138">
        <v>215</v>
      </c>
      <c r="JAI67" s="138">
        <v>75</v>
      </c>
      <c r="JAJ67" s="137">
        <v>150</v>
      </c>
      <c r="JAK67" s="139">
        <f>SUM(JAF67:JAJ67)</f>
        <v>8675</v>
      </c>
      <c r="JAL67" s="137">
        <v>200</v>
      </c>
      <c r="JAM67" s="139">
        <f>SUM(JAK67:JAL67)</f>
        <v>8875</v>
      </c>
      <c r="JAN67" s="132" t="s">
        <v>113</v>
      </c>
      <c r="JAO67" s="133">
        <v>45845</v>
      </c>
      <c r="JAP67" s="128" t="s">
        <v>41</v>
      </c>
      <c r="JAQ67" s="207"/>
      <c r="JAR67" s="134" t="s">
        <v>136</v>
      </c>
      <c r="JAS67" s="205"/>
      <c r="JAT67" s="206"/>
      <c r="JAU67" s="128" t="s">
        <v>24</v>
      </c>
      <c r="JAV67" s="129">
        <v>8150</v>
      </c>
      <c r="JAW67" s="137">
        <v>85</v>
      </c>
      <c r="JAX67" s="138">
        <v>215</v>
      </c>
      <c r="JAY67" s="138">
        <v>75</v>
      </c>
      <c r="JAZ67" s="137">
        <v>150</v>
      </c>
      <c r="JBA67" s="139">
        <f>SUM(JAV67:JAZ67)</f>
        <v>8675</v>
      </c>
      <c r="JBB67" s="137">
        <v>200</v>
      </c>
      <c r="JBC67" s="139">
        <f>SUM(JBA67:JBB67)</f>
        <v>8875</v>
      </c>
      <c r="JBD67" s="132" t="s">
        <v>113</v>
      </c>
      <c r="JBE67" s="133">
        <v>45845</v>
      </c>
      <c r="JBF67" s="128" t="s">
        <v>41</v>
      </c>
      <c r="JBG67" s="207"/>
      <c r="JBH67" s="134" t="s">
        <v>136</v>
      </c>
      <c r="JBI67" s="205"/>
      <c r="JBJ67" s="206"/>
      <c r="JBK67" s="128" t="s">
        <v>24</v>
      </c>
      <c r="JBL67" s="129">
        <v>8150</v>
      </c>
      <c r="JBM67" s="137">
        <v>85</v>
      </c>
      <c r="JBN67" s="138">
        <v>215</v>
      </c>
      <c r="JBO67" s="138">
        <v>75</v>
      </c>
      <c r="JBP67" s="137">
        <v>150</v>
      </c>
      <c r="JBQ67" s="139">
        <f>SUM(JBL67:JBP67)</f>
        <v>8675</v>
      </c>
      <c r="JBR67" s="137">
        <v>200</v>
      </c>
      <c r="JBS67" s="139">
        <f>SUM(JBQ67:JBR67)</f>
        <v>8875</v>
      </c>
      <c r="JBT67" s="132" t="s">
        <v>113</v>
      </c>
      <c r="JBU67" s="133">
        <v>45845</v>
      </c>
      <c r="JBV67" s="128" t="s">
        <v>41</v>
      </c>
      <c r="JBW67" s="207"/>
      <c r="JBX67" s="134" t="s">
        <v>136</v>
      </c>
      <c r="JBY67" s="205"/>
      <c r="JBZ67" s="206"/>
      <c r="JCA67" s="128" t="s">
        <v>24</v>
      </c>
      <c r="JCB67" s="129">
        <v>8150</v>
      </c>
      <c r="JCC67" s="137">
        <v>85</v>
      </c>
      <c r="JCD67" s="138">
        <v>215</v>
      </c>
      <c r="JCE67" s="138">
        <v>75</v>
      </c>
      <c r="JCF67" s="137">
        <v>150</v>
      </c>
      <c r="JCG67" s="139">
        <f>SUM(JCB67:JCF67)</f>
        <v>8675</v>
      </c>
      <c r="JCH67" s="137">
        <v>200</v>
      </c>
      <c r="JCI67" s="139">
        <f>SUM(JCG67:JCH67)</f>
        <v>8875</v>
      </c>
      <c r="JCJ67" s="132" t="s">
        <v>113</v>
      </c>
      <c r="JCK67" s="133">
        <v>45845</v>
      </c>
      <c r="JCL67" s="128" t="s">
        <v>41</v>
      </c>
      <c r="JCM67" s="207"/>
      <c r="JCN67" s="134" t="s">
        <v>136</v>
      </c>
      <c r="JCO67" s="205"/>
      <c r="JCP67" s="206"/>
      <c r="JCQ67" s="128" t="s">
        <v>24</v>
      </c>
      <c r="JCR67" s="129">
        <v>8150</v>
      </c>
      <c r="JCS67" s="137">
        <v>85</v>
      </c>
      <c r="JCT67" s="138">
        <v>215</v>
      </c>
      <c r="JCU67" s="138">
        <v>75</v>
      </c>
      <c r="JCV67" s="137">
        <v>150</v>
      </c>
      <c r="JCW67" s="139">
        <f>SUM(JCR67:JCV67)</f>
        <v>8675</v>
      </c>
      <c r="JCX67" s="137">
        <v>200</v>
      </c>
      <c r="JCY67" s="139">
        <f>SUM(JCW67:JCX67)</f>
        <v>8875</v>
      </c>
      <c r="JCZ67" s="132" t="s">
        <v>113</v>
      </c>
      <c r="JDA67" s="133">
        <v>45845</v>
      </c>
      <c r="JDB67" s="128" t="s">
        <v>41</v>
      </c>
      <c r="JDC67" s="207"/>
      <c r="JDD67" s="134" t="s">
        <v>136</v>
      </c>
      <c r="JDE67" s="205"/>
      <c r="JDF67" s="206"/>
      <c r="JDG67" s="128" t="s">
        <v>24</v>
      </c>
      <c r="JDH67" s="129">
        <v>8150</v>
      </c>
      <c r="JDI67" s="137">
        <v>85</v>
      </c>
      <c r="JDJ67" s="138">
        <v>215</v>
      </c>
      <c r="JDK67" s="138">
        <v>75</v>
      </c>
      <c r="JDL67" s="137">
        <v>150</v>
      </c>
      <c r="JDM67" s="139">
        <f>SUM(JDH67:JDL67)</f>
        <v>8675</v>
      </c>
      <c r="JDN67" s="137">
        <v>200</v>
      </c>
      <c r="JDO67" s="139">
        <f>SUM(JDM67:JDN67)</f>
        <v>8875</v>
      </c>
      <c r="JDP67" s="132" t="s">
        <v>113</v>
      </c>
      <c r="JDQ67" s="133">
        <v>45845</v>
      </c>
      <c r="JDR67" s="128" t="s">
        <v>41</v>
      </c>
      <c r="JDS67" s="207"/>
      <c r="JDT67" s="134" t="s">
        <v>136</v>
      </c>
      <c r="JDU67" s="205"/>
      <c r="JDV67" s="206"/>
      <c r="JDW67" s="128" t="s">
        <v>24</v>
      </c>
      <c r="JDX67" s="129">
        <v>8150</v>
      </c>
      <c r="JDY67" s="137">
        <v>85</v>
      </c>
      <c r="JDZ67" s="138">
        <v>215</v>
      </c>
      <c r="JEA67" s="138">
        <v>75</v>
      </c>
      <c r="JEB67" s="137">
        <v>150</v>
      </c>
      <c r="JEC67" s="139">
        <f>SUM(JDX67:JEB67)</f>
        <v>8675</v>
      </c>
      <c r="JED67" s="137">
        <v>200</v>
      </c>
      <c r="JEE67" s="139">
        <f>SUM(JEC67:JED67)</f>
        <v>8875</v>
      </c>
      <c r="JEF67" s="132" t="s">
        <v>113</v>
      </c>
      <c r="JEG67" s="133">
        <v>45845</v>
      </c>
      <c r="JEH67" s="128" t="s">
        <v>41</v>
      </c>
      <c r="JEI67" s="207"/>
      <c r="JEJ67" s="134" t="s">
        <v>136</v>
      </c>
      <c r="JEK67" s="205"/>
      <c r="JEL67" s="206"/>
      <c r="JEM67" s="128" t="s">
        <v>24</v>
      </c>
      <c r="JEN67" s="129">
        <v>8150</v>
      </c>
      <c r="JEO67" s="137">
        <v>85</v>
      </c>
      <c r="JEP67" s="138">
        <v>215</v>
      </c>
      <c r="JEQ67" s="138">
        <v>75</v>
      </c>
      <c r="JER67" s="137">
        <v>150</v>
      </c>
      <c r="JES67" s="139">
        <f>SUM(JEN67:JER67)</f>
        <v>8675</v>
      </c>
      <c r="JET67" s="137">
        <v>200</v>
      </c>
      <c r="JEU67" s="139">
        <f>SUM(JES67:JET67)</f>
        <v>8875</v>
      </c>
      <c r="JEV67" s="132" t="s">
        <v>113</v>
      </c>
      <c r="JEW67" s="133">
        <v>45845</v>
      </c>
      <c r="JEX67" s="128" t="s">
        <v>41</v>
      </c>
      <c r="JEY67" s="207"/>
      <c r="JEZ67" s="134" t="s">
        <v>136</v>
      </c>
      <c r="JFA67" s="205"/>
      <c r="JFB67" s="206"/>
      <c r="JFC67" s="128" t="s">
        <v>24</v>
      </c>
      <c r="JFD67" s="129">
        <v>8150</v>
      </c>
      <c r="JFE67" s="137">
        <v>85</v>
      </c>
      <c r="JFF67" s="138">
        <v>215</v>
      </c>
      <c r="JFG67" s="138">
        <v>75</v>
      </c>
      <c r="JFH67" s="137">
        <v>150</v>
      </c>
      <c r="JFI67" s="139">
        <f>SUM(JFD67:JFH67)</f>
        <v>8675</v>
      </c>
      <c r="JFJ67" s="137">
        <v>200</v>
      </c>
      <c r="JFK67" s="139">
        <f>SUM(JFI67:JFJ67)</f>
        <v>8875</v>
      </c>
      <c r="JFL67" s="132" t="s">
        <v>113</v>
      </c>
      <c r="JFM67" s="133">
        <v>45845</v>
      </c>
      <c r="JFN67" s="128" t="s">
        <v>41</v>
      </c>
      <c r="JFO67" s="207"/>
      <c r="JFP67" s="134" t="s">
        <v>136</v>
      </c>
      <c r="JFQ67" s="205"/>
      <c r="JFR67" s="206"/>
      <c r="JFS67" s="128" t="s">
        <v>24</v>
      </c>
      <c r="JFT67" s="129">
        <v>8150</v>
      </c>
      <c r="JFU67" s="137">
        <v>85</v>
      </c>
      <c r="JFV67" s="138">
        <v>215</v>
      </c>
      <c r="JFW67" s="138">
        <v>75</v>
      </c>
      <c r="JFX67" s="137">
        <v>150</v>
      </c>
      <c r="JFY67" s="139">
        <f>SUM(JFT67:JFX67)</f>
        <v>8675</v>
      </c>
      <c r="JFZ67" s="137">
        <v>200</v>
      </c>
      <c r="JGA67" s="139">
        <f>SUM(JFY67:JFZ67)</f>
        <v>8875</v>
      </c>
      <c r="JGB67" s="132" t="s">
        <v>113</v>
      </c>
      <c r="JGC67" s="133">
        <v>45845</v>
      </c>
      <c r="JGD67" s="128" t="s">
        <v>41</v>
      </c>
      <c r="JGE67" s="207"/>
      <c r="JGF67" s="134" t="s">
        <v>136</v>
      </c>
      <c r="JGG67" s="205"/>
      <c r="JGH67" s="206"/>
      <c r="JGI67" s="128" t="s">
        <v>24</v>
      </c>
      <c r="JGJ67" s="129">
        <v>8150</v>
      </c>
      <c r="JGK67" s="137">
        <v>85</v>
      </c>
      <c r="JGL67" s="138">
        <v>215</v>
      </c>
      <c r="JGM67" s="138">
        <v>75</v>
      </c>
      <c r="JGN67" s="137">
        <v>150</v>
      </c>
      <c r="JGO67" s="139">
        <f>SUM(JGJ67:JGN67)</f>
        <v>8675</v>
      </c>
      <c r="JGP67" s="137">
        <v>200</v>
      </c>
      <c r="JGQ67" s="139">
        <f>SUM(JGO67:JGP67)</f>
        <v>8875</v>
      </c>
      <c r="JGR67" s="132" t="s">
        <v>113</v>
      </c>
      <c r="JGS67" s="133">
        <v>45845</v>
      </c>
      <c r="JGT67" s="128" t="s">
        <v>41</v>
      </c>
      <c r="JGU67" s="207"/>
      <c r="JGV67" s="134" t="s">
        <v>136</v>
      </c>
      <c r="JGW67" s="205"/>
      <c r="JGX67" s="206"/>
      <c r="JGY67" s="128" t="s">
        <v>24</v>
      </c>
      <c r="JGZ67" s="129">
        <v>8150</v>
      </c>
      <c r="JHA67" s="137">
        <v>85</v>
      </c>
      <c r="JHB67" s="138">
        <v>215</v>
      </c>
      <c r="JHC67" s="138">
        <v>75</v>
      </c>
      <c r="JHD67" s="137">
        <v>150</v>
      </c>
      <c r="JHE67" s="139">
        <f>SUM(JGZ67:JHD67)</f>
        <v>8675</v>
      </c>
      <c r="JHF67" s="137">
        <v>200</v>
      </c>
      <c r="JHG67" s="139">
        <f>SUM(JHE67:JHF67)</f>
        <v>8875</v>
      </c>
      <c r="JHH67" s="132" t="s">
        <v>113</v>
      </c>
      <c r="JHI67" s="133">
        <v>45845</v>
      </c>
      <c r="JHJ67" s="128" t="s">
        <v>41</v>
      </c>
      <c r="JHK67" s="207"/>
      <c r="JHL67" s="134" t="s">
        <v>136</v>
      </c>
      <c r="JHM67" s="205"/>
      <c r="JHN67" s="206"/>
      <c r="JHO67" s="128" t="s">
        <v>24</v>
      </c>
      <c r="JHP67" s="129">
        <v>8150</v>
      </c>
      <c r="JHQ67" s="137">
        <v>85</v>
      </c>
      <c r="JHR67" s="138">
        <v>215</v>
      </c>
      <c r="JHS67" s="138">
        <v>75</v>
      </c>
      <c r="JHT67" s="137">
        <v>150</v>
      </c>
      <c r="JHU67" s="139">
        <f>SUM(JHP67:JHT67)</f>
        <v>8675</v>
      </c>
      <c r="JHV67" s="137">
        <v>200</v>
      </c>
      <c r="JHW67" s="139">
        <f>SUM(JHU67:JHV67)</f>
        <v>8875</v>
      </c>
      <c r="JHX67" s="132" t="s">
        <v>113</v>
      </c>
      <c r="JHY67" s="133">
        <v>45845</v>
      </c>
      <c r="JHZ67" s="128" t="s">
        <v>41</v>
      </c>
      <c r="JIA67" s="207"/>
      <c r="JIB67" s="134" t="s">
        <v>136</v>
      </c>
      <c r="JIC67" s="205"/>
      <c r="JID67" s="206"/>
      <c r="JIE67" s="128" t="s">
        <v>24</v>
      </c>
      <c r="JIF67" s="129">
        <v>8150</v>
      </c>
      <c r="JIG67" s="137">
        <v>85</v>
      </c>
      <c r="JIH67" s="138">
        <v>215</v>
      </c>
      <c r="JII67" s="138">
        <v>75</v>
      </c>
      <c r="JIJ67" s="137">
        <v>150</v>
      </c>
      <c r="JIK67" s="139">
        <f>SUM(JIF67:JIJ67)</f>
        <v>8675</v>
      </c>
      <c r="JIL67" s="137">
        <v>200</v>
      </c>
      <c r="JIM67" s="139">
        <f>SUM(JIK67:JIL67)</f>
        <v>8875</v>
      </c>
      <c r="JIN67" s="132" t="s">
        <v>113</v>
      </c>
      <c r="JIO67" s="133">
        <v>45845</v>
      </c>
      <c r="JIP67" s="128" t="s">
        <v>41</v>
      </c>
      <c r="JIQ67" s="207"/>
      <c r="JIR67" s="134" t="s">
        <v>136</v>
      </c>
      <c r="JIS67" s="205"/>
      <c r="JIT67" s="206"/>
      <c r="JIU67" s="128" t="s">
        <v>24</v>
      </c>
      <c r="JIV67" s="129">
        <v>8150</v>
      </c>
      <c r="JIW67" s="137">
        <v>85</v>
      </c>
      <c r="JIX67" s="138">
        <v>215</v>
      </c>
      <c r="JIY67" s="138">
        <v>75</v>
      </c>
      <c r="JIZ67" s="137">
        <v>150</v>
      </c>
      <c r="JJA67" s="139">
        <f>SUM(JIV67:JIZ67)</f>
        <v>8675</v>
      </c>
      <c r="JJB67" s="137">
        <v>200</v>
      </c>
      <c r="JJC67" s="139">
        <f>SUM(JJA67:JJB67)</f>
        <v>8875</v>
      </c>
      <c r="JJD67" s="132" t="s">
        <v>113</v>
      </c>
      <c r="JJE67" s="133">
        <v>45845</v>
      </c>
      <c r="JJF67" s="128" t="s">
        <v>41</v>
      </c>
      <c r="JJG67" s="207"/>
      <c r="JJH67" s="134" t="s">
        <v>136</v>
      </c>
      <c r="JJI67" s="205"/>
      <c r="JJJ67" s="206"/>
      <c r="JJK67" s="128" t="s">
        <v>24</v>
      </c>
      <c r="JJL67" s="129">
        <v>8150</v>
      </c>
      <c r="JJM67" s="137">
        <v>85</v>
      </c>
      <c r="JJN67" s="138">
        <v>215</v>
      </c>
      <c r="JJO67" s="138">
        <v>75</v>
      </c>
      <c r="JJP67" s="137">
        <v>150</v>
      </c>
      <c r="JJQ67" s="139">
        <f>SUM(JJL67:JJP67)</f>
        <v>8675</v>
      </c>
      <c r="JJR67" s="137">
        <v>200</v>
      </c>
      <c r="JJS67" s="139">
        <f>SUM(JJQ67:JJR67)</f>
        <v>8875</v>
      </c>
      <c r="JJT67" s="132" t="s">
        <v>113</v>
      </c>
      <c r="JJU67" s="133">
        <v>45845</v>
      </c>
      <c r="JJV67" s="128" t="s">
        <v>41</v>
      </c>
      <c r="JJW67" s="207"/>
      <c r="JJX67" s="134" t="s">
        <v>136</v>
      </c>
      <c r="JJY67" s="205"/>
      <c r="JJZ67" s="206"/>
      <c r="JKA67" s="128" t="s">
        <v>24</v>
      </c>
      <c r="JKB67" s="129">
        <v>8150</v>
      </c>
      <c r="JKC67" s="137">
        <v>85</v>
      </c>
      <c r="JKD67" s="138">
        <v>215</v>
      </c>
      <c r="JKE67" s="138">
        <v>75</v>
      </c>
      <c r="JKF67" s="137">
        <v>150</v>
      </c>
      <c r="JKG67" s="139">
        <f>SUM(JKB67:JKF67)</f>
        <v>8675</v>
      </c>
      <c r="JKH67" s="137">
        <v>200</v>
      </c>
      <c r="JKI67" s="139">
        <f>SUM(JKG67:JKH67)</f>
        <v>8875</v>
      </c>
      <c r="JKJ67" s="132" t="s">
        <v>113</v>
      </c>
      <c r="JKK67" s="133">
        <v>45845</v>
      </c>
      <c r="JKL67" s="128" t="s">
        <v>41</v>
      </c>
      <c r="JKM67" s="207"/>
      <c r="JKN67" s="134" t="s">
        <v>136</v>
      </c>
      <c r="JKO67" s="205"/>
      <c r="JKP67" s="206"/>
      <c r="JKQ67" s="128" t="s">
        <v>24</v>
      </c>
      <c r="JKR67" s="129">
        <v>8150</v>
      </c>
      <c r="JKS67" s="137">
        <v>85</v>
      </c>
      <c r="JKT67" s="138">
        <v>215</v>
      </c>
      <c r="JKU67" s="138">
        <v>75</v>
      </c>
      <c r="JKV67" s="137">
        <v>150</v>
      </c>
      <c r="JKW67" s="139">
        <f>SUM(JKR67:JKV67)</f>
        <v>8675</v>
      </c>
      <c r="JKX67" s="137">
        <v>200</v>
      </c>
      <c r="JKY67" s="139">
        <f>SUM(JKW67:JKX67)</f>
        <v>8875</v>
      </c>
      <c r="JKZ67" s="132" t="s">
        <v>113</v>
      </c>
      <c r="JLA67" s="133">
        <v>45845</v>
      </c>
      <c r="JLB67" s="128" t="s">
        <v>41</v>
      </c>
      <c r="JLC67" s="207"/>
      <c r="JLD67" s="134" t="s">
        <v>136</v>
      </c>
      <c r="JLE67" s="205"/>
      <c r="JLF67" s="206"/>
      <c r="JLG67" s="128" t="s">
        <v>24</v>
      </c>
      <c r="JLH67" s="129">
        <v>8150</v>
      </c>
      <c r="JLI67" s="137">
        <v>85</v>
      </c>
      <c r="JLJ67" s="138">
        <v>215</v>
      </c>
      <c r="JLK67" s="138">
        <v>75</v>
      </c>
      <c r="JLL67" s="137">
        <v>150</v>
      </c>
      <c r="JLM67" s="139">
        <f>SUM(JLH67:JLL67)</f>
        <v>8675</v>
      </c>
      <c r="JLN67" s="137">
        <v>200</v>
      </c>
      <c r="JLO67" s="139">
        <f>SUM(JLM67:JLN67)</f>
        <v>8875</v>
      </c>
      <c r="JLP67" s="132" t="s">
        <v>113</v>
      </c>
      <c r="JLQ67" s="133">
        <v>45845</v>
      </c>
      <c r="JLR67" s="128" t="s">
        <v>41</v>
      </c>
      <c r="JLS67" s="207"/>
      <c r="JLT67" s="134" t="s">
        <v>136</v>
      </c>
      <c r="JLU67" s="205"/>
      <c r="JLV67" s="206"/>
      <c r="JLW67" s="128" t="s">
        <v>24</v>
      </c>
      <c r="JLX67" s="129">
        <v>8150</v>
      </c>
      <c r="JLY67" s="137">
        <v>85</v>
      </c>
      <c r="JLZ67" s="138">
        <v>215</v>
      </c>
      <c r="JMA67" s="138">
        <v>75</v>
      </c>
      <c r="JMB67" s="137">
        <v>150</v>
      </c>
      <c r="JMC67" s="139">
        <f>SUM(JLX67:JMB67)</f>
        <v>8675</v>
      </c>
      <c r="JMD67" s="137">
        <v>200</v>
      </c>
      <c r="JME67" s="139">
        <f>SUM(JMC67:JMD67)</f>
        <v>8875</v>
      </c>
      <c r="JMF67" s="132" t="s">
        <v>113</v>
      </c>
      <c r="JMG67" s="133">
        <v>45845</v>
      </c>
      <c r="JMH67" s="128" t="s">
        <v>41</v>
      </c>
      <c r="JMI67" s="207"/>
      <c r="JMJ67" s="134" t="s">
        <v>136</v>
      </c>
      <c r="JMK67" s="205"/>
      <c r="JML67" s="206"/>
      <c r="JMM67" s="128" t="s">
        <v>24</v>
      </c>
      <c r="JMN67" s="129">
        <v>8150</v>
      </c>
      <c r="JMO67" s="137">
        <v>85</v>
      </c>
      <c r="JMP67" s="138">
        <v>215</v>
      </c>
      <c r="JMQ67" s="138">
        <v>75</v>
      </c>
      <c r="JMR67" s="137">
        <v>150</v>
      </c>
      <c r="JMS67" s="139">
        <f>SUM(JMN67:JMR67)</f>
        <v>8675</v>
      </c>
      <c r="JMT67" s="137">
        <v>200</v>
      </c>
      <c r="JMU67" s="139">
        <f>SUM(JMS67:JMT67)</f>
        <v>8875</v>
      </c>
      <c r="JMV67" s="132" t="s">
        <v>113</v>
      </c>
      <c r="JMW67" s="133">
        <v>45845</v>
      </c>
      <c r="JMX67" s="128" t="s">
        <v>41</v>
      </c>
      <c r="JMY67" s="207"/>
      <c r="JMZ67" s="134" t="s">
        <v>136</v>
      </c>
      <c r="JNA67" s="205"/>
      <c r="JNB67" s="206"/>
      <c r="JNC67" s="128" t="s">
        <v>24</v>
      </c>
      <c r="JND67" s="129">
        <v>8150</v>
      </c>
      <c r="JNE67" s="137">
        <v>85</v>
      </c>
      <c r="JNF67" s="138">
        <v>215</v>
      </c>
      <c r="JNG67" s="138">
        <v>75</v>
      </c>
      <c r="JNH67" s="137">
        <v>150</v>
      </c>
      <c r="JNI67" s="139">
        <f>SUM(JND67:JNH67)</f>
        <v>8675</v>
      </c>
      <c r="JNJ67" s="137">
        <v>200</v>
      </c>
      <c r="JNK67" s="139">
        <f>SUM(JNI67:JNJ67)</f>
        <v>8875</v>
      </c>
      <c r="JNL67" s="132" t="s">
        <v>113</v>
      </c>
      <c r="JNM67" s="133">
        <v>45845</v>
      </c>
      <c r="JNN67" s="128" t="s">
        <v>41</v>
      </c>
      <c r="JNO67" s="207"/>
      <c r="JNP67" s="134" t="s">
        <v>136</v>
      </c>
      <c r="JNQ67" s="205"/>
      <c r="JNR67" s="206"/>
      <c r="JNS67" s="128" t="s">
        <v>24</v>
      </c>
      <c r="JNT67" s="129">
        <v>8150</v>
      </c>
      <c r="JNU67" s="137">
        <v>85</v>
      </c>
      <c r="JNV67" s="138">
        <v>215</v>
      </c>
      <c r="JNW67" s="138">
        <v>75</v>
      </c>
      <c r="JNX67" s="137">
        <v>150</v>
      </c>
      <c r="JNY67" s="139">
        <f>SUM(JNT67:JNX67)</f>
        <v>8675</v>
      </c>
      <c r="JNZ67" s="137">
        <v>200</v>
      </c>
      <c r="JOA67" s="139">
        <f>SUM(JNY67:JNZ67)</f>
        <v>8875</v>
      </c>
      <c r="JOB67" s="132" t="s">
        <v>113</v>
      </c>
      <c r="JOC67" s="133">
        <v>45845</v>
      </c>
      <c r="JOD67" s="128" t="s">
        <v>41</v>
      </c>
      <c r="JOE67" s="207"/>
      <c r="JOF67" s="134" t="s">
        <v>136</v>
      </c>
      <c r="JOG67" s="205"/>
      <c r="JOH67" s="206"/>
      <c r="JOI67" s="128" t="s">
        <v>24</v>
      </c>
      <c r="JOJ67" s="129">
        <v>8150</v>
      </c>
      <c r="JOK67" s="137">
        <v>85</v>
      </c>
      <c r="JOL67" s="138">
        <v>215</v>
      </c>
      <c r="JOM67" s="138">
        <v>75</v>
      </c>
      <c r="JON67" s="137">
        <v>150</v>
      </c>
      <c r="JOO67" s="139">
        <f>SUM(JOJ67:JON67)</f>
        <v>8675</v>
      </c>
      <c r="JOP67" s="137">
        <v>200</v>
      </c>
      <c r="JOQ67" s="139">
        <f>SUM(JOO67:JOP67)</f>
        <v>8875</v>
      </c>
      <c r="JOR67" s="132" t="s">
        <v>113</v>
      </c>
      <c r="JOS67" s="133">
        <v>45845</v>
      </c>
      <c r="JOT67" s="128" t="s">
        <v>41</v>
      </c>
      <c r="JOU67" s="207"/>
      <c r="JOV67" s="134" t="s">
        <v>136</v>
      </c>
      <c r="JOW67" s="205"/>
      <c r="JOX67" s="206"/>
      <c r="JOY67" s="128" t="s">
        <v>24</v>
      </c>
      <c r="JOZ67" s="129">
        <v>8150</v>
      </c>
      <c r="JPA67" s="137">
        <v>85</v>
      </c>
      <c r="JPB67" s="138">
        <v>215</v>
      </c>
      <c r="JPC67" s="138">
        <v>75</v>
      </c>
      <c r="JPD67" s="137">
        <v>150</v>
      </c>
      <c r="JPE67" s="139">
        <f>SUM(JOZ67:JPD67)</f>
        <v>8675</v>
      </c>
      <c r="JPF67" s="137">
        <v>200</v>
      </c>
      <c r="JPG67" s="139">
        <f>SUM(JPE67:JPF67)</f>
        <v>8875</v>
      </c>
      <c r="JPH67" s="132" t="s">
        <v>113</v>
      </c>
      <c r="JPI67" s="133">
        <v>45845</v>
      </c>
      <c r="JPJ67" s="128" t="s">
        <v>41</v>
      </c>
      <c r="JPK67" s="207"/>
      <c r="JPL67" s="134" t="s">
        <v>136</v>
      </c>
      <c r="JPM67" s="205"/>
      <c r="JPN67" s="206"/>
      <c r="JPO67" s="128" t="s">
        <v>24</v>
      </c>
      <c r="JPP67" s="129">
        <v>8150</v>
      </c>
      <c r="JPQ67" s="137">
        <v>85</v>
      </c>
      <c r="JPR67" s="138">
        <v>215</v>
      </c>
      <c r="JPS67" s="138">
        <v>75</v>
      </c>
      <c r="JPT67" s="137">
        <v>150</v>
      </c>
      <c r="JPU67" s="139">
        <f>SUM(JPP67:JPT67)</f>
        <v>8675</v>
      </c>
      <c r="JPV67" s="137">
        <v>200</v>
      </c>
      <c r="JPW67" s="139">
        <f>SUM(JPU67:JPV67)</f>
        <v>8875</v>
      </c>
      <c r="JPX67" s="132" t="s">
        <v>113</v>
      </c>
      <c r="JPY67" s="133">
        <v>45845</v>
      </c>
      <c r="JPZ67" s="128" t="s">
        <v>41</v>
      </c>
      <c r="JQA67" s="207"/>
      <c r="JQB67" s="134" t="s">
        <v>136</v>
      </c>
      <c r="JQC67" s="205"/>
      <c r="JQD67" s="206"/>
      <c r="JQE67" s="128" t="s">
        <v>24</v>
      </c>
      <c r="JQF67" s="129">
        <v>8150</v>
      </c>
      <c r="JQG67" s="137">
        <v>85</v>
      </c>
      <c r="JQH67" s="138">
        <v>215</v>
      </c>
      <c r="JQI67" s="138">
        <v>75</v>
      </c>
      <c r="JQJ67" s="137">
        <v>150</v>
      </c>
      <c r="JQK67" s="139">
        <f>SUM(JQF67:JQJ67)</f>
        <v>8675</v>
      </c>
      <c r="JQL67" s="137">
        <v>200</v>
      </c>
      <c r="JQM67" s="139">
        <f>SUM(JQK67:JQL67)</f>
        <v>8875</v>
      </c>
      <c r="JQN67" s="132" t="s">
        <v>113</v>
      </c>
      <c r="JQO67" s="133">
        <v>45845</v>
      </c>
      <c r="JQP67" s="128" t="s">
        <v>41</v>
      </c>
      <c r="JQQ67" s="207"/>
      <c r="JQR67" s="134" t="s">
        <v>136</v>
      </c>
      <c r="JQS67" s="205"/>
      <c r="JQT67" s="206"/>
      <c r="JQU67" s="128" t="s">
        <v>24</v>
      </c>
      <c r="JQV67" s="129">
        <v>8150</v>
      </c>
      <c r="JQW67" s="137">
        <v>85</v>
      </c>
      <c r="JQX67" s="138">
        <v>215</v>
      </c>
      <c r="JQY67" s="138">
        <v>75</v>
      </c>
      <c r="JQZ67" s="137">
        <v>150</v>
      </c>
      <c r="JRA67" s="139">
        <f>SUM(JQV67:JQZ67)</f>
        <v>8675</v>
      </c>
      <c r="JRB67" s="137">
        <v>200</v>
      </c>
      <c r="JRC67" s="139">
        <f>SUM(JRA67:JRB67)</f>
        <v>8875</v>
      </c>
      <c r="JRD67" s="132" t="s">
        <v>113</v>
      </c>
      <c r="JRE67" s="133">
        <v>45845</v>
      </c>
      <c r="JRF67" s="128" t="s">
        <v>41</v>
      </c>
      <c r="JRG67" s="207"/>
      <c r="JRH67" s="134" t="s">
        <v>136</v>
      </c>
      <c r="JRI67" s="205"/>
      <c r="JRJ67" s="206"/>
      <c r="JRK67" s="128" t="s">
        <v>24</v>
      </c>
      <c r="JRL67" s="129">
        <v>8150</v>
      </c>
      <c r="JRM67" s="137">
        <v>85</v>
      </c>
      <c r="JRN67" s="138">
        <v>215</v>
      </c>
      <c r="JRO67" s="138">
        <v>75</v>
      </c>
      <c r="JRP67" s="137">
        <v>150</v>
      </c>
      <c r="JRQ67" s="139">
        <f>SUM(JRL67:JRP67)</f>
        <v>8675</v>
      </c>
      <c r="JRR67" s="137">
        <v>200</v>
      </c>
      <c r="JRS67" s="139">
        <f>SUM(JRQ67:JRR67)</f>
        <v>8875</v>
      </c>
      <c r="JRT67" s="132" t="s">
        <v>113</v>
      </c>
      <c r="JRU67" s="133">
        <v>45845</v>
      </c>
      <c r="JRV67" s="128" t="s">
        <v>41</v>
      </c>
      <c r="JRW67" s="207"/>
      <c r="JRX67" s="134" t="s">
        <v>136</v>
      </c>
      <c r="JRY67" s="205"/>
      <c r="JRZ67" s="206"/>
      <c r="JSA67" s="128" t="s">
        <v>24</v>
      </c>
      <c r="JSB67" s="129">
        <v>8150</v>
      </c>
      <c r="JSC67" s="137">
        <v>85</v>
      </c>
      <c r="JSD67" s="138">
        <v>215</v>
      </c>
      <c r="JSE67" s="138">
        <v>75</v>
      </c>
      <c r="JSF67" s="137">
        <v>150</v>
      </c>
      <c r="JSG67" s="139">
        <f>SUM(JSB67:JSF67)</f>
        <v>8675</v>
      </c>
      <c r="JSH67" s="137">
        <v>200</v>
      </c>
      <c r="JSI67" s="139">
        <f>SUM(JSG67:JSH67)</f>
        <v>8875</v>
      </c>
      <c r="JSJ67" s="132" t="s">
        <v>113</v>
      </c>
      <c r="JSK67" s="133">
        <v>45845</v>
      </c>
      <c r="JSL67" s="128" t="s">
        <v>41</v>
      </c>
      <c r="JSM67" s="207"/>
      <c r="JSN67" s="134" t="s">
        <v>136</v>
      </c>
      <c r="JSO67" s="205"/>
      <c r="JSP67" s="206"/>
      <c r="JSQ67" s="128" t="s">
        <v>24</v>
      </c>
      <c r="JSR67" s="129">
        <v>8150</v>
      </c>
      <c r="JSS67" s="137">
        <v>85</v>
      </c>
      <c r="JST67" s="138">
        <v>215</v>
      </c>
      <c r="JSU67" s="138">
        <v>75</v>
      </c>
      <c r="JSV67" s="137">
        <v>150</v>
      </c>
      <c r="JSW67" s="139">
        <f>SUM(JSR67:JSV67)</f>
        <v>8675</v>
      </c>
      <c r="JSX67" s="137">
        <v>200</v>
      </c>
      <c r="JSY67" s="139">
        <f>SUM(JSW67:JSX67)</f>
        <v>8875</v>
      </c>
      <c r="JSZ67" s="132" t="s">
        <v>113</v>
      </c>
      <c r="JTA67" s="133">
        <v>45845</v>
      </c>
      <c r="JTB67" s="128" t="s">
        <v>41</v>
      </c>
      <c r="JTC67" s="207"/>
      <c r="JTD67" s="134" t="s">
        <v>136</v>
      </c>
      <c r="JTE67" s="205"/>
      <c r="JTF67" s="206"/>
      <c r="JTG67" s="128" t="s">
        <v>24</v>
      </c>
      <c r="JTH67" s="129">
        <v>8150</v>
      </c>
      <c r="JTI67" s="137">
        <v>85</v>
      </c>
      <c r="JTJ67" s="138">
        <v>215</v>
      </c>
      <c r="JTK67" s="138">
        <v>75</v>
      </c>
      <c r="JTL67" s="137">
        <v>150</v>
      </c>
      <c r="JTM67" s="139">
        <f>SUM(JTH67:JTL67)</f>
        <v>8675</v>
      </c>
      <c r="JTN67" s="137">
        <v>200</v>
      </c>
      <c r="JTO67" s="139">
        <f>SUM(JTM67:JTN67)</f>
        <v>8875</v>
      </c>
      <c r="JTP67" s="132" t="s">
        <v>113</v>
      </c>
      <c r="JTQ67" s="133">
        <v>45845</v>
      </c>
      <c r="JTR67" s="128" t="s">
        <v>41</v>
      </c>
      <c r="JTS67" s="207"/>
      <c r="JTT67" s="134" t="s">
        <v>136</v>
      </c>
      <c r="JTU67" s="205"/>
      <c r="JTV67" s="206"/>
      <c r="JTW67" s="128" t="s">
        <v>24</v>
      </c>
      <c r="JTX67" s="129">
        <v>8150</v>
      </c>
      <c r="JTY67" s="137">
        <v>85</v>
      </c>
      <c r="JTZ67" s="138">
        <v>215</v>
      </c>
      <c r="JUA67" s="138">
        <v>75</v>
      </c>
      <c r="JUB67" s="137">
        <v>150</v>
      </c>
      <c r="JUC67" s="139">
        <f>SUM(JTX67:JUB67)</f>
        <v>8675</v>
      </c>
      <c r="JUD67" s="137">
        <v>200</v>
      </c>
      <c r="JUE67" s="139">
        <f>SUM(JUC67:JUD67)</f>
        <v>8875</v>
      </c>
      <c r="JUF67" s="132" t="s">
        <v>113</v>
      </c>
      <c r="JUG67" s="133">
        <v>45845</v>
      </c>
      <c r="JUH67" s="128" t="s">
        <v>41</v>
      </c>
      <c r="JUI67" s="207"/>
      <c r="JUJ67" s="134" t="s">
        <v>136</v>
      </c>
      <c r="JUK67" s="205"/>
      <c r="JUL67" s="206"/>
      <c r="JUM67" s="128" t="s">
        <v>24</v>
      </c>
      <c r="JUN67" s="129">
        <v>8150</v>
      </c>
      <c r="JUO67" s="137">
        <v>85</v>
      </c>
      <c r="JUP67" s="138">
        <v>215</v>
      </c>
      <c r="JUQ67" s="138">
        <v>75</v>
      </c>
      <c r="JUR67" s="137">
        <v>150</v>
      </c>
      <c r="JUS67" s="139">
        <f>SUM(JUN67:JUR67)</f>
        <v>8675</v>
      </c>
      <c r="JUT67" s="137">
        <v>200</v>
      </c>
      <c r="JUU67" s="139">
        <f>SUM(JUS67:JUT67)</f>
        <v>8875</v>
      </c>
      <c r="JUV67" s="132" t="s">
        <v>113</v>
      </c>
      <c r="JUW67" s="133">
        <v>45845</v>
      </c>
      <c r="JUX67" s="128" t="s">
        <v>41</v>
      </c>
      <c r="JUY67" s="207"/>
      <c r="JUZ67" s="134" t="s">
        <v>136</v>
      </c>
      <c r="JVA67" s="205"/>
      <c r="JVB67" s="206"/>
      <c r="JVC67" s="128" t="s">
        <v>24</v>
      </c>
      <c r="JVD67" s="129">
        <v>8150</v>
      </c>
      <c r="JVE67" s="137">
        <v>85</v>
      </c>
      <c r="JVF67" s="138">
        <v>215</v>
      </c>
      <c r="JVG67" s="138">
        <v>75</v>
      </c>
      <c r="JVH67" s="137">
        <v>150</v>
      </c>
      <c r="JVI67" s="139">
        <f>SUM(JVD67:JVH67)</f>
        <v>8675</v>
      </c>
      <c r="JVJ67" s="137">
        <v>200</v>
      </c>
      <c r="JVK67" s="139">
        <f>SUM(JVI67:JVJ67)</f>
        <v>8875</v>
      </c>
      <c r="JVL67" s="132" t="s">
        <v>113</v>
      </c>
      <c r="JVM67" s="133">
        <v>45845</v>
      </c>
      <c r="JVN67" s="128" t="s">
        <v>41</v>
      </c>
      <c r="JVO67" s="207"/>
      <c r="JVP67" s="134" t="s">
        <v>136</v>
      </c>
      <c r="JVQ67" s="205"/>
      <c r="JVR67" s="206"/>
      <c r="JVS67" s="128" t="s">
        <v>24</v>
      </c>
      <c r="JVT67" s="129">
        <v>8150</v>
      </c>
      <c r="JVU67" s="137">
        <v>85</v>
      </c>
      <c r="JVV67" s="138">
        <v>215</v>
      </c>
      <c r="JVW67" s="138">
        <v>75</v>
      </c>
      <c r="JVX67" s="137">
        <v>150</v>
      </c>
      <c r="JVY67" s="139">
        <f>SUM(JVT67:JVX67)</f>
        <v>8675</v>
      </c>
      <c r="JVZ67" s="137">
        <v>200</v>
      </c>
      <c r="JWA67" s="139">
        <f>SUM(JVY67:JVZ67)</f>
        <v>8875</v>
      </c>
      <c r="JWB67" s="132" t="s">
        <v>113</v>
      </c>
      <c r="JWC67" s="133">
        <v>45845</v>
      </c>
      <c r="JWD67" s="128" t="s">
        <v>41</v>
      </c>
      <c r="JWE67" s="207"/>
      <c r="JWF67" s="134" t="s">
        <v>136</v>
      </c>
      <c r="JWG67" s="205"/>
      <c r="JWH67" s="206"/>
      <c r="JWI67" s="128" t="s">
        <v>24</v>
      </c>
      <c r="JWJ67" s="129">
        <v>8150</v>
      </c>
      <c r="JWK67" s="137">
        <v>85</v>
      </c>
      <c r="JWL67" s="138">
        <v>215</v>
      </c>
      <c r="JWM67" s="138">
        <v>75</v>
      </c>
      <c r="JWN67" s="137">
        <v>150</v>
      </c>
      <c r="JWO67" s="139">
        <f>SUM(JWJ67:JWN67)</f>
        <v>8675</v>
      </c>
      <c r="JWP67" s="137">
        <v>200</v>
      </c>
      <c r="JWQ67" s="139">
        <f>SUM(JWO67:JWP67)</f>
        <v>8875</v>
      </c>
      <c r="JWR67" s="132" t="s">
        <v>113</v>
      </c>
      <c r="JWS67" s="133">
        <v>45845</v>
      </c>
      <c r="JWT67" s="128" t="s">
        <v>41</v>
      </c>
      <c r="JWU67" s="207"/>
      <c r="JWV67" s="134" t="s">
        <v>136</v>
      </c>
      <c r="JWW67" s="205"/>
      <c r="JWX67" s="206"/>
      <c r="JWY67" s="128" t="s">
        <v>24</v>
      </c>
      <c r="JWZ67" s="129">
        <v>8150</v>
      </c>
      <c r="JXA67" s="137">
        <v>85</v>
      </c>
      <c r="JXB67" s="138">
        <v>215</v>
      </c>
      <c r="JXC67" s="138">
        <v>75</v>
      </c>
      <c r="JXD67" s="137">
        <v>150</v>
      </c>
      <c r="JXE67" s="139">
        <f>SUM(JWZ67:JXD67)</f>
        <v>8675</v>
      </c>
      <c r="JXF67" s="137">
        <v>200</v>
      </c>
      <c r="JXG67" s="139">
        <f>SUM(JXE67:JXF67)</f>
        <v>8875</v>
      </c>
      <c r="JXH67" s="132" t="s">
        <v>113</v>
      </c>
      <c r="JXI67" s="133">
        <v>45845</v>
      </c>
      <c r="JXJ67" s="128" t="s">
        <v>41</v>
      </c>
      <c r="JXK67" s="207"/>
      <c r="JXL67" s="134" t="s">
        <v>136</v>
      </c>
      <c r="JXM67" s="205"/>
      <c r="JXN67" s="206"/>
      <c r="JXO67" s="128" t="s">
        <v>24</v>
      </c>
      <c r="JXP67" s="129">
        <v>8150</v>
      </c>
      <c r="JXQ67" s="137">
        <v>85</v>
      </c>
      <c r="JXR67" s="138">
        <v>215</v>
      </c>
      <c r="JXS67" s="138">
        <v>75</v>
      </c>
      <c r="JXT67" s="137">
        <v>150</v>
      </c>
      <c r="JXU67" s="139">
        <f>SUM(JXP67:JXT67)</f>
        <v>8675</v>
      </c>
      <c r="JXV67" s="137">
        <v>200</v>
      </c>
      <c r="JXW67" s="139">
        <f>SUM(JXU67:JXV67)</f>
        <v>8875</v>
      </c>
      <c r="JXX67" s="132" t="s">
        <v>113</v>
      </c>
      <c r="JXY67" s="133">
        <v>45845</v>
      </c>
      <c r="JXZ67" s="128" t="s">
        <v>41</v>
      </c>
      <c r="JYA67" s="207"/>
      <c r="JYB67" s="134" t="s">
        <v>136</v>
      </c>
      <c r="JYC67" s="205"/>
      <c r="JYD67" s="206"/>
      <c r="JYE67" s="128" t="s">
        <v>24</v>
      </c>
      <c r="JYF67" s="129">
        <v>8150</v>
      </c>
      <c r="JYG67" s="137">
        <v>85</v>
      </c>
      <c r="JYH67" s="138">
        <v>215</v>
      </c>
      <c r="JYI67" s="138">
        <v>75</v>
      </c>
      <c r="JYJ67" s="137">
        <v>150</v>
      </c>
      <c r="JYK67" s="139">
        <f>SUM(JYF67:JYJ67)</f>
        <v>8675</v>
      </c>
      <c r="JYL67" s="137">
        <v>200</v>
      </c>
      <c r="JYM67" s="139">
        <f>SUM(JYK67:JYL67)</f>
        <v>8875</v>
      </c>
      <c r="JYN67" s="132" t="s">
        <v>113</v>
      </c>
      <c r="JYO67" s="133">
        <v>45845</v>
      </c>
      <c r="JYP67" s="128" t="s">
        <v>41</v>
      </c>
      <c r="JYQ67" s="207"/>
      <c r="JYR67" s="134" t="s">
        <v>136</v>
      </c>
      <c r="JYS67" s="205"/>
      <c r="JYT67" s="206"/>
      <c r="JYU67" s="128" t="s">
        <v>24</v>
      </c>
      <c r="JYV67" s="129">
        <v>8150</v>
      </c>
      <c r="JYW67" s="137">
        <v>85</v>
      </c>
      <c r="JYX67" s="138">
        <v>215</v>
      </c>
      <c r="JYY67" s="138">
        <v>75</v>
      </c>
      <c r="JYZ67" s="137">
        <v>150</v>
      </c>
      <c r="JZA67" s="139">
        <f>SUM(JYV67:JYZ67)</f>
        <v>8675</v>
      </c>
      <c r="JZB67" s="137">
        <v>200</v>
      </c>
      <c r="JZC67" s="139">
        <f>SUM(JZA67:JZB67)</f>
        <v>8875</v>
      </c>
      <c r="JZD67" s="132" t="s">
        <v>113</v>
      </c>
      <c r="JZE67" s="133">
        <v>45845</v>
      </c>
      <c r="JZF67" s="128" t="s">
        <v>41</v>
      </c>
      <c r="JZG67" s="207"/>
      <c r="JZH67" s="134" t="s">
        <v>136</v>
      </c>
      <c r="JZI67" s="205"/>
      <c r="JZJ67" s="206"/>
      <c r="JZK67" s="128" t="s">
        <v>24</v>
      </c>
      <c r="JZL67" s="129">
        <v>8150</v>
      </c>
      <c r="JZM67" s="137">
        <v>85</v>
      </c>
      <c r="JZN67" s="138">
        <v>215</v>
      </c>
      <c r="JZO67" s="138">
        <v>75</v>
      </c>
      <c r="JZP67" s="137">
        <v>150</v>
      </c>
      <c r="JZQ67" s="139">
        <f>SUM(JZL67:JZP67)</f>
        <v>8675</v>
      </c>
      <c r="JZR67" s="137">
        <v>200</v>
      </c>
      <c r="JZS67" s="139">
        <f>SUM(JZQ67:JZR67)</f>
        <v>8875</v>
      </c>
      <c r="JZT67" s="132" t="s">
        <v>113</v>
      </c>
      <c r="JZU67" s="133">
        <v>45845</v>
      </c>
      <c r="JZV67" s="128" t="s">
        <v>41</v>
      </c>
      <c r="JZW67" s="207"/>
      <c r="JZX67" s="134" t="s">
        <v>136</v>
      </c>
      <c r="JZY67" s="205"/>
      <c r="JZZ67" s="206"/>
      <c r="KAA67" s="128" t="s">
        <v>24</v>
      </c>
      <c r="KAB67" s="129">
        <v>8150</v>
      </c>
      <c r="KAC67" s="137">
        <v>85</v>
      </c>
      <c r="KAD67" s="138">
        <v>215</v>
      </c>
      <c r="KAE67" s="138">
        <v>75</v>
      </c>
      <c r="KAF67" s="137">
        <v>150</v>
      </c>
      <c r="KAG67" s="139">
        <f>SUM(KAB67:KAF67)</f>
        <v>8675</v>
      </c>
      <c r="KAH67" s="137">
        <v>200</v>
      </c>
      <c r="KAI67" s="139">
        <f>SUM(KAG67:KAH67)</f>
        <v>8875</v>
      </c>
      <c r="KAJ67" s="132" t="s">
        <v>113</v>
      </c>
      <c r="KAK67" s="133">
        <v>45845</v>
      </c>
      <c r="KAL67" s="128" t="s">
        <v>41</v>
      </c>
      <c r="KAM67" s="207"/>
      <c r="KAN67" s="134" t="s">
        <v>136</v>
      </c>
      <c r="KAO67" s="205"/>
      <c r="KAP67" s="206"/>
      <c r="KAQ67" s="128" t="s">
        <v>24</v>
      </c>
      <c r="KAR67" s="129">
        <v>8150</v>
      </c>
      <c r="KAS67" s="137">
        <v>85</v>
      </c>
      <c r="KAT67" s="138">
        <v>215</v>
      </c>
      <c r="KAU67" s="138">
        <v>75</v>
      </c>
      <c r="KAV67" s="137">
        <v>150</v>
      </c>
      <c r="KAW67" s="139">
        <f>SUM(KAR67:KAV67)</f>
        <v>8675</v>
      </c>
      <c r="KAX67" s="137">
        <v>200</v>
      </c>
      <c r="KAY67" s="139">
        <f>SUM(KAW67:KAX67)</f>
        <v>8875</v>
      </c>
      <c r="KAZ67" s="132" t="s">
        <v>113</v>
      </c>
      <c r="KBA67" s="133">
        <v>45845</v>
      </c>
      <c r="KBB67" s="128" t="s">
        <v>41</v>
      </c>
      <c r="KBC67" s="207"/>
      <c r="KBD67" s="134" t="s">
        <v>136</v>
      </c>
      <c r="KBE67" s="205"/>
      <c r="KBF67" s="206"/>
      <c r="KBG67" s="128" t="s">
        <v>24</v>
      </c>
      <c r="KBH67" s="129">
        <v>8150</v>
      </c>
      <c r="KBI67" s="137">
        <v>85</v>
      </c>
      <c r="KBJ67" s="138">
        <v>215</v>
      </c>
      <c r="KBK67" s="138">
        <v>75</v>
      </c>
      <c r="KBL67" s="137">
        <v>150</v>
      </c>
      <c r="KBM67" s="139">
        <f>SUM(KBH67:KBL67)</f>
        <v>8675</v>
      </c>
      <c r="KBN67" s="137">
        <v>200</v>
      </c>
      <c r="KBO67" s="139">
        <f>SUM(KBM67:KBN67)</f>
        <v>8875</v>
      </c>
      <c r="KBP67" s="132" t="s">
        <v>113</v>
      </c>
      <c r="KBQ67" s="133">
        <v>45845</v>
      </c>
      <c r="KBR67" s="128" t="s">
        <v>41</v>
      </c>
      <c r="KBS67" s="207"/>
      <c r="KBT67" s="134" t="s">
        <v>136</v>
      </c>
      <c r="KBU67" s="205"/>
      <c r="KBV67" s="206"/>
      <c r="KBW67" s="128" t="s">
        <v>24</v>
      </c>
      <c r="KBX67" s="129">
        <v>8150</v>
      </c>
      <c r="KBY67" s="137">
        <v>85</v>
      </c>
      <c r="KBZ67" s="138">
        <v>215</v>
      </c>
      <c r="KCA67" s="138">
        <v>75</v>
      </c>
      <c r="KCB67" s="137">
        <v>150</v>
      </c>
      <c r="KCC67" s="139">
        <f>SUM(KBX67:KCB67)</f>
        <v>8675</v>
      </c>
      <c r="KCD67" s="137">
        <v>200</v>
      </c>
      <c r="KCE67" s="139">
        <f>SUM(KCC67:KCD67)</f>
        <v>8875</v>
      </c>
      <c r="KCF67" s="132" t="s">
        <v>113</v>
      </c>
      <c r="KCG67" s="133">
        <v>45845</v>
      </c>
      <c r="KCH67" s="128" t="s">
        <v>41</v>
      </c>
      <c r="KCI67" s="207"/>
      <c r="KCJ67" s="134" t="s">
        <v>136</v>
      </c>
      <c r="KCK67" s="205"/>
      <c r="KCL67" s="206"/>
      <c r="KCM67" s="128" t="s">
        <v>24</v>
      </c>
      <c r="KCN67" s="129">
        <v>8150</v>
      </c>
      <c r="KCO67" s="137">
        <v>85</v>
      </c>
      <c r="KCP67" s="138">
        <v>215</v>
      </c>
      <c r="KCQ67" s="138">
        <v>75</v>
      </c>
      <c r="KCR67" s="137">
        <v>150</v>
      </c>
      <c r="KCS67" s="139">
        <f>SUM(KCN67:KCR67)</f>
        <v>8675</v>
      </c>
      <c r="KCT67" s="137">
        <v>200</v>
      </c>
      <c r="KCU67" s="139">
        <f>SUM(KCS67:KCT67)</f>
        <v>8875</v>
      </c>
      <c r="KCV67" s="132" t="s">
        <v>113</v>
      </c>
      <c r="KCW67" s="133">
        <v>45845</v>
      </c>
      <c r="KCX67" s="128" t="s">
        <v>41</v>
      </c>
      <c r="KCY67" s="207"/>
      <c r="KCZ67" s="134" t="s">
        <v>136</v>
      </c>
      <c r="KDA67" s="205"/>
      <c r="KDB67" s="206"/>
      <c r="KDC67" s="128" t="s">
        <v>24</v>
      </c>
      <c r="KDD67" s="129">
        <v>8150</v>
      </c>
      <c r="KDE67" s="137">
        <v>85</v>
      </c>
      <c r="KDF67" s="138">
        <v>215</v>
      </c>
      <c r="KDG67" s="138">
        <v>75</v>
      </c>
      <c r="KDH67" s="137">
        <v>150</v>
      </c>
      <c r="KDI67" s="139">
        <f>SUM(KDD67:KDH67)</f>
        <v>8675</v>
      </c>
      <c r="KDJ67" s="137">
        <v>200</v>
      </c>
      <c r="KDK67" s="139">
        <f>SUM(KDI67:KDJ67)</f>
        <v>8875</v>
      </c>
      <c r="KDL67" s="132" t="s">
        <v>113</v>
      </c>
      <c r="KDM67" s="133">
        <v>45845</v>
      </c>
      <c r="KDN67" s="128" t="s">
        <v>41</v>
      </c>
      <c r="KDO67" s="207"/>
      <c r="KDP67" s="134" t="s">
        <v>136</v>
      </c>
      <c r="KDQ67" s="205"/>
      <c r="KDR67" s="206"/>
      <c r="KDS67" s="128" t="s">
        <v>24</v>
      </c>
      <c r="KDT67" s="129">
        <v>8150</v>
      </c>
      <c r="KDU67" s="137">
        <v>85</v>
      </c>
      <c r="KDV67" s="138">
        <v>215</v>
      </c>
      <c r="KDW67" s="138">
        <v>75</v>
      </c>
      <c r="KDX67" s="137">
        <v>150</v>
      </c>
      <c r="KDY67" s="139">
        <f>SUM(KDT67:KDX67)</f>
        <v>8675</v>
      </c>
      <c r="KDZ67" s="137">
        <v>200</v>
      </c>
      <c r="KEA67" s="139">
        <f>SUM(KDY67:KDZ67)</f>
        <v>8875</v>
      </c>
      <c r="KEB67" s="132" t="s">
        <v>113</v>
      </c>
      <c r="KEC67" s="133">
        <v>45845</v>
      </c>
      <c r="KED67" s="128" t="s">
        <v>41</v>
      </c>
      <c r="KEE67" s="207"/>
      <c r="KEF67" s="134" t="s">
        <v>136</v>
      </c>
      <c r="KEG67" s="205"/>
      <c r="KEH67" s="206"/>
      <c r="KEI67" s="128" t="s">
        <v>24</v>
      </c>
      <c r="KEJ67" s="129">
        <v>8150</v>
      </c>
      <c r="KEK67" s="137">
        <v>85</v>
      </c>
      <c r="KEL67" s="138">
        <v>215</v>
      </c>
      <c r="KEM67" s="138">
        <v>75</v>
      </c>
      <c r="KEN67" s="137">
        <v>150</v>
      </c>
      <c r="KEO67" s="139">
        <f>SUM(KEJ67:KEN67)</f>
        <v>8675</v>
      </c>
      <c r="KEP67" s="137">
        <v>200</v>
      </c>
      <c r="KEQ67" s="139">
        <f>SUM(KEO67:KEP67)</f>
        <v>8875</v>
      </c>
      <c r="KER67" s="132" t="s">
        <v>113</v>
      </c>
      <c r="KES67" s="133">
        <v>45845</v>
      </c>
      <c r="KET67" s="128" t="s">
        <v>41</v>
      </c>
      <c r="KEU67" s="207"/>
      <c r="KEV67" s="134" t="s">
        <v>136</v>
      </c>
      <c r="KEW67" s="205"/>
      <c r="KEX67" s="206"/>
      <c r="KEY67" s="128" t="s">
        <v>24</v>
      </c>
      <c r="KEZ67" s="129">
        <v>8150</v>
      </c>
      <c r="KFA67" s="137">
        <v>85</v>
      </c>
      <c r="KFB67" s="138">
        <v>215</v>
      </c>
      <c r="KFC67" s="138">
        <v>75</v>
      </c>
      <c r="KFD67" s="137">
        <v>150</v>
      </c>
      <c r="KFE67" s="139">
        <f>SUM(KEZ67:KFD67)</f>
        <v>8675</v>
      </c>
      <c r="KFF67" s="137">
        <v>200</v>
      </c>
      <c r="KFG67" s="139">
        <f>SUM(KFE67:KFF67)</f>
        <v>8875</v>
      </c>
      <c r="KFH67" s="132" t="s">
        <v>113</v>
      </c>
      <c r="KFI67" s="133">
        <v>45845</v>
      </c>
      <c r="KFJ67" s="128" t="s">
        <v>41</v>
      </c>
      <c r="KFK67" s="207"/>
      <c r="KFL67" s="134" t="s">
        <v>136</v>
      </c>
      <c r="KFM67" s="205"/>
      <c r="KFN67" s="206"/>
      <c r="KFO67" s="128" t="s">
        <v>24</v>
      </c>
      <c r="KFP67" s="129">
        <v>8150</v>
      </c>
      <c r="KFQ67" s="137">
        <v>85</v>
      </c>
      <c r="KFR67" s="138">
        <v>215</v>
      </c>
      <c r="KFS67" s="138">
        <v>75</v>
      </c>
      <c r="KFT67" s="137">
        <v>150</v>
      </c>
      <c r="KFU67" s="139">
        <f>SUM(KFP67:KFT67)</f>
        <v>8675</v>
      </c>
      <c r="KFV67" s="137">
        <v>200</v>
      </c>
      <c r="KFW67" s="139">
        <f>SUM(KFU67:KFV67)</f>
        <v>8875</v>
      </c>
      <c r="KFX67" s="132" t="s">
        <v>113</v>
      </c>
      <c r="KFY67" s="133">
        <v>45845</v>
      </c>
      <c r="KFZ67" s="128" t="s">
        <v>41</v>
      </c>
      <c r="KGA67" s="207"/>
      <c r="KGB67" s="134" t="s">
        <v>136</v>
      </c>
      <c r="KGC67" s="205"/>
      <c r="KGD67" s="206"/>
      <c r="KGE67" s="128" t="s">
        <v>24</v>
      </c>
      <c r="KGF67" s="129">
        <v>8150</v>
      </c>
      <c r="KGG67" s="137">
        <v>85</v>
      </c>
      <c r="KGH67" s="138">
        <v>215</v>
      </c>
      <c r="KGI67" s="138">
        <v>75</v>
      </c>
      <c r="KGJ67" s="137">
        <v>150</v>
      </c>
      <c r="KGK67" s="139">
        <f>SUM(KGF67:KGJ67)</f>
        <v>8675</v>
      </c>
      <c r="KGL67" s="137">
        <v>200</v>
      </c>
      <c r="KGM67" s="139">
        <f>SUM(KGK67:KGL67)</f>
        <v>8875</v>
      </c>
      <c r="KGN67" s="132" t="s">
        <v>113</v>
      </c>
      <c r="KGO67" s="133">
        <v>45845</v>
      </c>
      <c r="KGP67" s="128" t="s">
        <v>41</v>
      </c>
      <c r="KGQ67" s="207"/>
      <c r="KGR67" s="134" t="s">
        <v>136</v>
      </c>
      <c r="KGS67" s="205"/>
      <c r="KGT67" s="206"/>
      <c r="KGU67" s="128" t="s">
        <v>24</v>
      </c>
      <c r="KGV67" s="129">
        <v>8150</v>
      </c>
      <c r="KGW67" s="137">
        <v>85</v>
      </c>
      <c r="KGX67" s="138">
        <v>215</v>
      </c>
      <c r="KGY67" s="138">
        <v>75</v>
      </c>
      <c r="KGZ67" s="137">
        <v>150</v>
      </c>
      <c r="KHA67" s="139">
        <f>SUM(KGV67:KGZ67)</f>
        <v>8675</v>
      </c>
      <c r="KHB67" s="137">
        <v>200</v>
      </c>
      <c r="KHC67" s="139">
        <f>SUM(KHA67:KHB67)</f>
        <v>8875</v>
      </c>
      <c r="KHD67" s="132" t="s">
        <v>113</v>
      </c>
      <c r="KHE67" s="133">
        <v>45845</v>
      </c>
      <c r="KHF67" s="128" t="s">
        <v>41</v>
      </c>
      <c r="KHG67" s="207"/>
      <c r="KHH67" s="134" t="s">
        <v>136</v>
      </c>
      <c r="KHI67" s="205"/>
      <c r="KHJ67" s="206"/>
      <c r="KHK67" s="128" t="s">
        <v>24</v>
      </c>
      <c r="KHL67" s="129">
        <v>8150</v>
      </c>
      <c r="KHM67" s="137">
        <v>85</v>
      </c>
      <c r="KHN67" s="138">
        <v>215</v>
      </c>
      <c r="KHO67" s="138">
        <v>75</v>
      </c>
      <c r="KHP67" s="137">
        <v>150</v>
      </c>
      <c r="KHQ67" s="139">
        <f>SUM(KHL67:KHP67)</f>
        <v>8675</v>
      </c>
      <c r="KHR67" s="137">
        <v>200</v>
      </c>
      <c r="KHS67" s="139">
        <f>SUM(KHQ67:KHR67)</f>
        <v>8875</v>
      </c>
      <c r="KHT67" s="132" t="s">
        <v>113</v>
      </c>
      <c r="KHU67" s="133">
        <v>45845</v>
      </c>
      <c r="KHV67" s="128" t="s">
        <v>41</v>
      </c>
      <c r="KHW67" s="207"/>
      <c r="KHX67" s="134" t="s">
        <v>136</v>
      </c>
      <c r="KHY67" s="205"/>
      <c r="KHZ67" s="206"/>
      <c r="KIA67" s="128" t="s">
        <v>24</v>
      </c>
      <c r="KIB67" s="129">
        <v>8150</v>
      </c>
      <c r="KIC67" s="137">
        <v>85</v>
      </c>
      <c r="KID67" s="138">
        <v>215</v>
      </c>
      <c r="KIE67" s="138">
        <v>75</v>
      </c>
      <c r="KIF67" s="137">
        <v>150</v>
      </c>
      <c r="KIG67" s="139">
        <f>SUM(KIB67:KIF67)</f>
        <v>8675</v>
      </c>
      <c r="KIH67" s="137">
        <v>200</v>
      </c>
      <c r="KII67" s="139">
        <f>SUM(KIG67:KIH67)</f>
        <v>8875</v>
      </c>
      <c r="KIJ67" s="132" t="s">
        <v>113</v>
      </c>
      <c r="KIK67" s="133">
        <v>45845</v>
      </c>
      <c r="KIL67" s="128" t="s">
        <v>41</v>
      </c>
      <c r="KIM67" s="207"/>
      <c r="KIN67" s="134" t="s">
        <v>136</v>
      </c>
      <c r="KIO67" s="205"/>
      <c r="KIP67" s="206"/>
      <c r="KIQ67" s="128" t="s">
        <v>24</v>
      </c>
      <c r="KIR67" s="129">
        <v>8150</v>
      </c>
      <c r="KIS67" s="137">
        <v>85</v>
      </c>
      <c r="KIT67" s="138">
        <v>215</v>
      </c>
      <c r="KIU67" s="138">
        <v>75</v>
      </c>
      <c r="KIV67" s="137">
        <v>150</v>
      </c>
      <c r="KIW67" s="139">
        <f>SUM(KIR67:KIV67)</f>
        <v>8675</v>
      </c>
      <c r="KIX67" s="137">
        <v>200</v>
      </c>
      <c r="KIY67" s="139">
        <f>SUM(KIW67:KIX67)</f>
        <v>8875</v>
      </c>
      <c r="KIZ67" s="132" t="s">
        <v>113</v>
      </c>
      <c r="KJA67" s="133">
        <v>45845</v>
      </c>
      <c r="KJB67" s="128" t="s">
        <v>41</v>
      </c>
      <c r="KJC67" s="207"/>
      <c r="KJD67" s="134" t="s">
        <v>136</v>
      </c>
      <c r="KJE67" s="205"/>
      <c r="KJF67" s="206"/>
      <c r="KJG67" s="128" t="s">
        <v>24</v>
      </c>
      <c r="KJH67" s="129">
        <v>8150</v>
      </c>
      <c r="KJI67" s="137">
        <v>85</v>
      </c>
      <c r="KJJ67" s="138">
        <v>215</v>
      </c>
      <c r="KJK67" s="138">
        <v>75</v>
      </c>
      <c r="KJL67" s="137">
        <v>150</v>
      </c>
      <c r="KJM67" s="139">
        <f>SUM(KJH67:KJL67)</f>
        <v>8675</v>
      </c>
      <c r="KJN67" s="137">
        <v>200</v>
      </c>
      <c r="KJO67" s="139">
        <f>SUM(KJM67:KJN67)</f>
        <v>8875</v>
      </c>
      <c r="KJP67" s="132" t="s">
        <v>113</v>
      </c>
      <c r="KJQ67" s="133">
        <v>45845</v>
      </c>
      <c r="KJR67" s="128" t="s">
        <v>41</v>
      </c>
      <c r="KJS67" s="207"/>
      <c r="KJT67" s="134" t="s">
        <v>136</v>
      </c>
      <c r="KJU67" s="205"/>
      <c r="KJV67" s="206"/>
      <c r="KJW67" s="128" t="s">
        <v>24</v>
      </c>
      <c r="KJX67" s="129">
        <v>8150</v>
      </c>
      <c r="KJY67" s="137">
        <v>85</v>
      </c>
      <c r="KJZ67" s="138">
        <v>215</v>
      </c>
      <c r="KKA67" s="138">
        <v>75</v>
      </c>
      <c r="KKB67" s="137">
        <v>150</v>
      </c>
      <c r="KKC67" s="139">
        <f>SUM(KJX67:KKB67)</f>
        <v>8675</v>
      </c>
      <c r="KKD67" s="137">
        <v>200</v>
      </c>
      <c r="KKE67" s="139">
        <f>SUM(KKC67:KKD67)</f>
        <v>8875</v>
      </c>
      <c r="KKF67" s="132" t="s">
        <v>113</v>
      </c>
      <c r="KKG67" s="133">
        <v>45845</v>
      </c>
      <c r="KKH67" s="128" t="s">
        <v>41</v>
      </c>
      <c r="KKI67" s="207"/>
      <c r="KKJ67" s="134" t="s">
        <v>136</v>
      </c>
      <c r="KKK67" s="205"/>
      <c r="KKL67" s="206"/>
      <c r="KKM67" s="128" t="s">
        <v>24</v>
      </c>
      <c r="KKN67" s="129">
        <v>8150</v>
      </c>
      <c r="KKO67" s="137">
        <v>85</v>
      </c>
      <c r="KKP67" s="138">
        <v>215</v>
      </c>
      <c r="KKQ67" s="138">
        <v>75</v>
      </c>
      <c r="KKR67" s="137">
        <v>150</v>
      </c>
      <c r="KKS67" s="139">
        <f>SUM(KKN67:KKR67)</f>
        <v>8675</v>
      </c>
      <c r="KKT67" s="137">
        <v>200</v>
      </c>
      <c r="KKU67" s="139">
        <f>SUM(KKS67:KKT67)</f>
        <v>8875</v>
      </c>
      <c r="KKV67" s="132" t="s">
        <v>113</v>
      </c>
      <c r="KKW67" s="133">
        <v>45845</v>
      </c>
      <c r="KKX67" s="128" t="s">
        <v>41</v>
      </c>
      <c r="KKY67" s="207"/>
      <c r="KKZ67" s="134" t="s">
        <v>136</v>
      </c>
      <c r="KLA67" s="205"/>
      <c r="KLB67" s="206"/>
      <c r="KLC67" s="128" t="s">
        <v>24</v>
      </c>
      <c r="KLD67" s="129">
        <v>8150</v>
      </c>
      <c r="KLE67" s="137">
        <v>85</v>
      </c>
      <c r="KLF67" s="138">
        <v>215</v>
      </c>
      <c r="KLG67" s="138">
        <v>75</v>
      </c>
      <c r="KLH67" s="137">
        <v>150</v>
      </c>
      <c r="KLI67" s="139">
        <f>SUM(KLD67:KLH67)</f>
        <v>8675</v>
      </c>
      <c r="KLJ67" s="137">
        <v>200</v>
      </c>
      <c r="KLK67" s="139">
        <f>SUM(KLI67:KLJ67)</f>
        <v>8875</v>
      </c>
      <c r="KLL67" s="132" t="s">
        <v>113</v>
      </c>
      <c r="KLM67" s="133">
        <v>45845</v>
      </c>
      <c r="KLN67" s="128" t="s">
        <v>41</v>
      </c>
      <c r="KLO67" s="207"/>
      <c r="KLP67" s="134" t="s">
        <v>136</v>
      </c>
      <c r="KLQ67" s="205"/>
      <c r="KLR67" s="206"/>
      <c r="KLS67" s="128" t="s">
        <v>24</v>
      </c>
      <c r="KLT67" s="129">
        <v>8150</v>
      </c>
      <c r="KLU67" s="137">
        <v>85</v>
      </c>
      <c r="KLV67" s="138">
        <v>215</v>
      </c>
      <c r="KLW67" s="138">
        <v>75</v>
      </c>
      <c r="KLX67" s="137">
        <v>150</v>
      </c>
      <c r="KLY67" s="139">
        <f>SUM(KLT67:KLX67)</f>
        <v>8675</v>
      </c>
      <c r="KLZ67" s="137">
        <v>200</v>
      </c>
      <c r="KMA67" s="139">
        <f>SUM(KLY67:KLZ67)</f>
        <v>8875</v>
      </c>
      <c r="KMB67" s="132" t="s">
        <v>113</v>
      </c>
      <c r="KMC67" s="133">
        <v>45845</v>
      </c>
      <c r="KMD67" s="128" t="s">
        <v>41</v>
      </c>
      <c r="KME67" s="207"/>
      <c r="KMF67" s="134" t="s">
        <v>136</v>
      </c>
      <c r="KMG67" s="205"/>
      <c r="KMH67" s="206"/>
      <c r="KMI67" s="128" t="s">
        <v>24</v>
      </c>
      <c r="KMJ67" s="129">
        <v>8150</v>
      </c>
      <c r="KMK67" s="137">
        <v>85</v>
      </c>
      <c r="KML67" s="138">
        <v>215</v>
      </c>
      <c r="KMM67" s="138">
        <v>75</v>
      </c>
      <c r="KMN67" s="137">
        <v>150</v>
      </c>
      <c r="KMO67" s="139">
        <f>SUM(KMJ67:KMN67)</f>
        <v>8675</v>
      </c>
      <c r="KMP67" s="137">
        <v>200</v>
      </c>
      <c r="KMQ67" s="139">
        <f>SUM(KMO67:KMP67)</f>
        <v>8875</v>
      </c>
      <c r="KMR67" s="132" t="s">
        <v>113</v>
      </c>
      <c r="KMS67" s="133">
        <v>45845</v>
      </c>
      <c r="KMT67" s="128" t="s">
        <v>41</v>
      </c>
      <c r="KMU67" s="207"/>
      <c r="KMV67" s="134" t="s">
        <v>136</v>
      </c>
      <c r="KMW67" s="205"/>
      <c r="KMX67" s="206"/>
      <c r="KMY67" s="128" t="s">
        <v>24</v>
      </c>
      <c r="KMZ67" s="129">
        <v>8150</v>
      </c>
      <c r="KNA67" s="137">
        <v>85</v>
      </c>
      <c r="KNB67" s="138">
        <v>215</v>
      </c>
      <c r="KNC67" s="138">
        <v>75</v>
      </c>
      <c r="KND67" s="137">
        <v>150</v>
      </c>
      <c r="KNE67" s="139">
        <f>SUM(KMZ67:KND67)</f>
        <v>8675</v>
      </c>
      <c r="KNF67" s="137">
        <v>200</v>
      </c>
      <c r="KNG67" s="139">
        <f>SUM(KNE67:KNF67)</f>
        <v>8875</v>
      </c>
      <c r="KNH67" s="132" t="s">
        <v>113</v>
      </c>
      <c r="KNI67" s="133">
        <v>45845</v>
      </c>
      <c r="KNJ67" s="128" t="s">
        <v>41</v>
      </c>
      <c r="KNK67" s="207"/>
      <c r="KNL67" s="134" t="s">
        <v>136</v>
      </c>
      <c r="KNM67" s="205"/>
      <c r="KNN67" s="206"/>
      <c r="KNO67" s="128" t="s">
        <v>24</v>
      </c>
      <c r="KNP67" s="129">
        <v>8150</v>
      </c>
      <c r="KNQ67" s="137">
        <v>85</v>
      </c>
      <c r="KNR67" s="138">
        <v>215</v>
      </c>
      <c r="KNS67" s="138">
        <v>75</v>
      </c>
      <c r="KNT67" s="137">
        <v>150</v>
      </c>
      <c r="KNU67" s="139">
        <f>SUM(KNP67:KNT67)</f>
        <v>8675</v>
      </c>
      <c r="KNV67" s="137">
        <v>200</v>
      </c>
      <c r="KNW67" s="139">
        <f>SUM(KNU67:KNV67)</f>
        <v>8875</v>
      </c>
      <c r="KNX67" s="132" t="s">
        <v>113</v>
      </c>
      <c r="KNY67" s="133">
        <v>45845</v>
      </c>
      <c r="KNZ67" s="128" t="s">
        <v>41</v>
      </c>
      <c r="KOA67" s="207"/>
      <c r="KOB67" s="134" t="s">
        <v>136</v>
      </c>
      <c r="KOC67" s="205"/>
      <c r="KOD67" s="206"/>
      <c r="KOE67" s="128" t="s">
        <v>24</v>
      </c>
      <c r="KOF67" s="129">
        <v>8150</v>
      </c>
      <c r="KOG67" s="137">
        <v>85</v>
      </c>
      <c r="KOH67" s="138">
        <v>215</v>
      </c>
      <c r="KOI67" s="138">
        <v>75</v>
      </c>
      <c r="KOJ67" s="137">
        <v>150</v>
      </c>
      <c r="KOK67" s="139">
        <f>SUM(KOF67:KOJ67)</f>
        <v>8675</v>
      </c>
      <c r="KOL67" s="137">
        <v>200</v>
      </c>
      <c r="KOM67" s="139">
        <f>SUM(KOK67:KOL67)</f>
        <v>8875</v>
      </c>
      <c r="KON67" s="132" t="s">
        <v>113</v>
      </c>
      <c r="KOO67" s="133">
        <v>45845</v>
      </c>
      <c r="KOP67" s="128" t="s">
        <v>41</v>
      </c>
      <c r="KOQ67" s="207"/>
      <c r="KOR67" s="134" t="s">
        <v>136</v>
      </c>
      <c r="KOS67" s="205"/>
      <c r="KOT67" s="206"/>
      <c r="KOU67" s="128" t="s">
        <v>24</v>
      </c>
      <c r="KOV67" s="129">
        <v>8150</v>
      </c>
      <c r="KOW67" s="137">
        <v>85</v>
      </c>
      <c r="KOX67" s="138">
        <v>215</v>
      </c>
      <c r="KOY67" s="138">
        <v>75</v>
      </c>
      <c r="KOZ67" s="137">
        <v>150</v>
      </c>
      <c r="KPA67" s="139">
        <f>SUM(KOV67:KOZ67)</f>
        <v>8675</v>
      </c>
      <c r="KPB67" s="137">
        <v>200</v>
      </c>
      <c r="KPC67" s="139">
        <f>SUM(KPA67:KPB67)</f>
        <v>8875</v>
      </c>
      <c r="KPD67" s="132" t="s">
        <v>113</v>
      </c>
      <c r="KPE67" s="133">
        <v>45845</v>
      </c>
      <c r="KPF67" s="128" t="s">
        <v>41</v>
      </c>
      <c r="KPG67" s="207"/>
      <c r="KPH67" s="134" t="s">
        <v>136</v>
      </c>
      <c r="KPI67" s="205"/>
      <c r="KPJ67" s="206"/>
      <c r="KPK67" s="128" t="s">
        <v>24</v>
      </c>
      <c r="KPL67" s="129">
        <v>8150</v>
      </c>
      <c r="KPM67" s="137">
        <v>85</v>
      </c>
      <c r="KPN67" s="138">
        <v>215</v>
      </c>
      <c r="KPO67" s="138">
        <v>75</v>
      </c>
      <c r="KPP67" s="137">
        <v>150</v>
      </c>
      <c r="KPQ67" s="139">
        <f>SUM(KPL67:KPP67)</f>
        <v>8675</v>
      </c>
      <c r="KPR67" s="137">
        <v>200</v>
      </c>
      <c r="KPS67" s="139">
        <f>SUM(KPQ67:KPR67)</f>
        <v>8875</v>
      </c>
      <c r="KPT67" s="132" t="s">
        <v>113</v>
      </c>
      <c r="KPU67" s="133">
        <v>45845</v>
      </c>
      <c r="KPV67" s="128" t="s">
        <v>41</v>
      </c>
      <c r="KPW67" s="207"/>
      <c r="KPX67" s="134" t="s">
        <v>136</v>
      </c>
      <c r="KPY67" s="205"/>
      <c r="KPZ67" s="206"/>
      <c r="KQA67" s="128" t="s">
        <v>24</v>
      </c>
      <c r="KQB67" s="129">
        <v>8150</v>
      </c>
      <c r="KQC67" s="137">
        <v>85</v>
      </c>
      <c r="KQD67" s="138">
        <v>215</v>
      </c>
      <c r="KQE67" s="138">
        <v>75</v>
      </c>
      <c r="KQF67" s="137">
        <v>150</v>
      </c>
      <c r="KQG67" s="139">
        <f>SUM(KQB67:KQF67)</f>
        <v>8675</v>
      </c>
      <c r="KQH67" s="137">
        <v>200</v>
      </c>
      <c r="KQI67" s="139">
        <f>SUM(KQG67:KQH67)</f>
        <v>8875</v>
      </c>
      <c r="KQJ67" s="132" t="s">
        <v>113</v>
      </c>
      <c r="KQK67" s="133">
        <v>45845</v>
      </c>
      <c r="KQL67" s="128" t="s">
        <v>41</v>
      </c>
      <c r="KQM67" s="207"/>
      <c r="KQN67" s="134" t="s">
        <v>136</v>
      </c>
      <c r="KQO67" s="205"/>
      <c r="KQP67" s="206"/>
      <c r="KQQ67" s="128" t="s">
        <v>24</v>
      </c>
      <c r="KQR67" s="129">
        <v>8150</v>
      </c>
      <c r="KQS67" s="137">
        <v>85</v>
      </c>
      <c r="KQT67" s="138">
        <v>215</v>
      </c>
      <c r="KQU67" s="138">
        <v>75</v>
      </c>
      <c r="KQV67" s="137">
        <v>150</v>
      </c>
      <c r="KQW67" s="139">
        <f>SUM(KQR67:KQV67)</f>
        <v>8675</v>
      </c>
      <c r="KQX67" s="137">
        <v>200</v>
      </c>
      <c r="KQY67" s="139">
        <f>SUM(KQW67:KQX67)</f>
        <v>8875</v>
      </c>
      <c r="KQZ67" s="132" t="s">
        <v>113</v>
      </c>
      <c r="KRA67" s="133">
        <v>45845</v>
      </c>
      <c r="KRB67" s="128" t="s">
        <v>41</v>
      </c>
      <c r="KRC67" s="207"/>
      <c r="KRD67" s="134" t="s">
        <v>136</v>
      </c>
      <c r="KRE67" s="205"/>
      <c r="KRF67" s="206"/>
      <c r="KRG67" s="128" t="s">
        <v>24</v>
      </c>
      <c r="KRH67" s="129">
        <v>8150</v>
      </c>
      <c r="KRI67" s="137">
        <v>85</v>
      </c>
      <c r="KRJ67" s="138">
        <v>215</v>
      </c>
      <c r="KRK67" s="138">
        <v>75</v>
      </c>
      <c r="KRL67" s="137">
        <v>150</v>
      </c>
      <c r="KRM67" s="139">
        <f>SUM(KRH67:KRL67)</f>
        <v>8675</v>
      </c>
      <c r="KRN67" s="137">
        <v>200</v>
      </c>
      <c r="KRO67" s="139">
        <f>SUM(KRM67:KRN67)</f>
        <v>8875</v>
      </c>
      <c r="KRP67" s="132" t="s">
        <v>113</v>
      </c>
      <c r="KRQ67" s="133">
        <v>45845</v>
      </c>
      <c r="KRR67" s="128" t="s">
        <v>41</v>
      </c>
      <c r="KRS67" s="207"/>
      <c r="KRT67" s="134" t="s">
        <v>136</v>
      </c>
      <c r="KRU67" s="205"/>
      <c r="KRV67" s="206"/>
      <c r="KRW67" s="128" t="s">
        <v>24</v>
      </c>
      <c r="KRX67" s="129">
        <v>8150</v>
      </c>
      <c r="KRY67" s="137">
        <v>85</v>
      </c>
      <c r="KRZ67" s="138">
        <v>215</v>
      </c>
      <c r="KSA67" s="138">
        <v>75</v>
      </c>
      <c r="KSB67" s="137">
        <v>150</v>
      </c>
      <c r="KSC67" s="139">
        <f>SUM(KRX67:KSB67)</f>
        <v>8675</v>
      </c>
      <c r="KSD67" s="137">
        <v>200</v>
      </c>
      <c r="KSE67" s="139">
        <f>SUM(KSC67:KSD67)</f>
        <v>8875</v>
      </c>
      <c r="KSF67" s="132" t="s">
        <v>113</v>
      </c>
      <c r="KSG67" s="133">
        <v>45845</v>
      </c>
      <c r="KSH67" s="128" t="s">
        <v>41</v>
      </c>
      <c r="KSI67" s="207"/>
      <c r="KSJ67" s="134" t="s">
        <v>136</v>
      </c>
      <c r="KSK67" s="205"/>
      <c r="KSL67" s="206"/>
      <c r="KSM67" s="128" t="s">
        <v>24</v>
      </c>
      <c r="KSN67" s="129">
        <v>8150</v>
      </c>
      <c r="KSO67" s="137">
        <v>85</v>
      </c>
      <c r="KSP67" s="138">
        <v>215</v>
      </c>
      <c r="KSQ67" s="138">
        <v>75</v>
      </c>
      <c r="KSR67" s="137">
        <v>150</v>
      </c>
      <c r="KSS67" s="139">
        <f>SUM(KSN67:KSR67)</f>
        <v>8675</v>
      </c>
      <c r="KST67" s="137">
        <v>200</v>
      </c>
      <c r="KSU67" s="139">
        <f>SUM(KSS67:KST67)</f>
        <v>8875</v>
      </c>
      <c r="KSV67" s="132" t="s">
        <v>113</v>
      </c>
      <c r="KSW67" s="133">
        <v>45845</v>
      </c>
      <c r="KSX67" s="128" t="s">
        <v>41</v>
      </c>
      <c r="KSY67" s="207"/>
      <c r="KSZ67" s="134" t="s">
        <v>136</v>
      </c>
      <c r="KTA67" s="205"/>
      <c r="KTB67" s="206"/>
      <c r="KTC67" s="128" t="s">
        <v>24</v>
      </c>
      <c r="KTD67" s="129">
        <v>8150</v>
      </c>
      <c r="KTE67" s="137">
        <v>85</v>
      </c>
      <c r="KTF67" s="138">
        <v>215</v>
      </c>
      <c r="KTG67" s="138">
        <v>75</v>
      </c>
      <c r="KTH67" s="137">
        <v>150</v>
      </c>
      <c r="KTI67" s="139">
        <f>SUM(KTD67:KTH67)</f>
        <v>8675</v>
      </c>
      <c r="KTJ67" s="137">
        <v>200</v>
      </c>
      <c r="KTK67" s="139">
        <f>SUM(KTI67:KTJ67)</f>
        <v>8875</v>
      </c>
      <c r="KTL67" s="132" t="s">
        <v>113</v>
      </c>
      <c r="KTM67" s="133">
        <v>45845</v>
      </c>
      <c r="KTN67" s="128" t="s">
        <v>41</v>
      </c>
      <c r="KTO67" s="207"/>
      <c r="KTP67" s="134" t="s">
        <v>136</v>
      </c>
      <c r="KTQ67" s="205"/>
      <c r="KTR67" s="206"/>
      <c r="KTS67" s="128" t="s">
        <v>24</v>
      </c>
      <c r="KTT67" s="129">
        <v>8150</v>
      </c>
      <c r="KTU67" s="137">
        <v>85</v>
      </c>
      <c r="KTV67" s="138">
        <v>215</v>
      </c>
      <c r="KTW67" s="138">
        <v>75</v>
      </c>
      <c r="KTX67" s="137">
        <v>150</v>
      </c>
      <c r="KTY67" s="139">
        <f>SUM(KTT67:KTX67)</f>
        <v>8675</v>
      </c>
      <c r="KTZ67" s="137">
        <v>200</v>
      </c>
      <c r="KUA67" s="139">
        <f>SUM(KTY67:KTZ67)</f>
        <v>8875</v>
      </c>
      <c r="KUB67" s="132" t="s">
        <v>113</v>
      </c>
      <c r="KUC67" s="133">
        <v>45845</v>
      </c>
      <c r="KUD67" s="128" t="s">
        <v>41</v>
      </c>
      <c r="KUE67" s="207"/>
      <c r="KUF67" s="134" t="s">
        <v>136</v>
      </c>
      <c r="KUG67" s="205"/>
      <c r="KUH67" s="206"/>
      <c r="KUI67" s="128" t="s">
        <v>24</v>
      </c>
      <c r="KUJ67" s="129">
        <v>8150</v>
      </c>
      <c r="KUK67" s="137">
        <v>85</v>
      </c>
      <c r="KUL67" s="138">
        <v>215</v>
      </c>
      <c r="KUM67" s="138">
        <v>75</v>
      </c>
      <c r="KUN67" s="137">
        <v>150</v>
      </c>
      <c r="KUO67" s="139">
        <f>SUM(KUJ67:KUN67)</f>
        <v>8675</v>
      </c>
      <c r="KUP67" s="137">
        <v>200</v>
      </c>
      <c r="KUQ67" s="139">
        <f>SUM(KUO67:KUP67)</f>
        <v>8875</v>
      </c>
      <c r="KUR67" s="132" t="s">
        <v>113</v>
      </c>
      <c r="KUS67" s="133">
        <v>45845</v>
      </c>
      <c r="KUT67" s="128" t="s">
        <v>41</v>
      </c>
      <c r="KUU67" s="207"/>
      <c r="KUV67" s="134" t="s">
        <v>136</v>
      </c>
      <c r="KUW67" s="205"/>
      <c r="KUX67" s="206"/>
      <c r="KUY67" s="128" t="s">
        <v>24</v>
      </c>
      <c r="KUZ67" s="129">
        <v>8150</v>
      </c>
      <c r="KVA67" s="137">
        <v>85</v>
      </c>
      <c r="KVB67" s="138">
        <v>215</v>
      </c>
      <c r="KVC67" s="138">
        <v>75</v>
      </c>
      <c r="KVD67" s="137">
        <v>150</v>
      </c>
      <c r="KVE67" s="139">
        <f>SUM(KUZ67:KVD67)</f>
        <v>8675</v>
      </c>
      <c r="KVF67" s="137">
        <v>200</v>
      </c>
      <c r="KVG67" s="139">
        <f>SUM(KVE67:KVF67)</f>
        <v>8875</v>
      </c>
      <c r="KVH67" s="132" t="s">
        <v>113</v>
      </c>
      <c r="KVI67" s="133">
        <v>45845</v>
      </c>
      <c r="KVJ67" s="128" t="s">
        <v>41</v>
      </c>
      <c r="KVK67" s="207"/>
      <c r="KVL67" s="134" t="s">
        <v>136</v>
      </c>
      <c r="KVM67" s="205"/>
      <c r="KVN67" s="206"/>
      <c r="KVO67" s="128" t="s">
        <v>24</v>
      </c>
      <c r="KVP67" s="129">
        <v>8150</v>
      </c>
      <c r="KVQ67" s="137">
        <v>85</v>
      </c>
      <c r="KVR67" s="138">
        <v>215</v>
      </c>
      <c r="KVS67" s="138">
        <v>75</v>
      </c>
      <c r="KVT67" s="137">
        <v>150</v>
      </c>
      <c r="KVU67" s="139">
        <f>SUM(KVP67:KVT67)</f>
        <v>8675</v>
      </c>
      <c r="KVV67" s="137">
        <v>200</v>
      </c>
      <c r="KVW67" s="139">
        <f>SUM(KVU67:KVV67)</f>
        <v>8875</v>
      </c>
      <c r="KVX67" s="132" t="s">
        <v>113</v>
      </c>
      <c r="KVY67" s="133">
        <v>45845</v>
      </c>
      <c r="KVZ67" s="128" t="s">
        <v>41</v>
      </c>
      <c r="KWA67" s="207"/>
      <c r="KWB67" s="134" t="s">
        <v>136</v>
      </c>
      <c r="KWC67" s="205"/>
      <c r="KWD67" s="206"/>
      <c r="KWE67" s="128" t="s">
        <v>24</v>
      </c>
      <c r="KWF67" s="129">
        <v>8150</v>
      </c>
      <c r="KWG67" s="137">
        <v>85</v>
      </c>
      <c r="KWH67" s="138">
        <v>215</v>
      </c>
      <c r="KWI67" s="138">
        <v>75</v>
      </c>
      <c r="KWJ67" s="137">
        <v>150</v>
      </c>
      <c r="KWK67" s="139">
        <f>SUM(KWF67:KWJ67)</f>
        <v>8675</v>
      </c>
      <c r="KWL67" s="137">
        <v>200</v>
      </c>
      <c r="KWM67" s="139">
        <f>SUM(KWK67:KWL67)</f>
        <v>8875</v>
      </c>
      <c r="KWN67" s="132" t="s">
        <v>113</v>
      </c>
      <c r="KWO67" s="133">
        <v>45845</v>
      </c>
      <c r="KWP67" s="128" t="s">
        <v>41</v>
      </c>
      <c r="KWQ67" s="207"/>
      <c r="KWR67" s="134" t="s">
        <v>136</v>
      </c>
      <c r="KWS67" s="205"/>
      <c r="KWT67" s="206"/>
      <c r="KWU67" s="128" t="s">
        <v>24</v>
      </c>
      <c r="KWV67" s="129">
        <v>8150</v>
      </c>
      <c r="KWW67" s="137">
        <v>85</v>
      </c>
      <c r="KWX67" s="138">
        <v>215</v>
      </c>
      <c r="KWY67" s="138">
        <v>75</v>
      </c>
      <c r="KWZ67" s="137">
        <v>150</v>
      </c>
      <c r="KXA67" s="139">
        <f>SUM(KWV67:KWZ67)</f>
        <v>8675</v>
      </c>
      <c r="KXB67" s="137">
        <v>200</v>
      </c>
      <c r="KXC67" s="139">
        <f>SUM(KXA67:KXB67)</f>
        <v>8875</v>
      </c>
      <c r="KXD67" s="132" t="s">
        <v>113</v>
      </c>
      <c r="KXE67" s="133">
        <v>45845</v>
      </c>
      <c r="KXF67" s="128" t="s">
        <v>41</v>
      </c>
      <c r="KXG67" s="207"/>
      <c r="KXH67" s="134" t="s">
        <v>136</v>
      </c>
      <c r="KXI67" s="205"/>
      <c r="KXJ67" s="206"/>
      <c r="KXK67" s="128" t="s">
        <v>24</v>
      </c>
      <c r="KXL67" s="129">
        <v>8150</v>
      </c>
      <c r="KXM67" s="137">
        <v>85</v>
      </c>
      <c r="KXN67" s="138">
        <v>215</v>
      </c>
      <c r="KXO67" s="138">
        <v>75</v>
      </c>
      <c r="KXP67" s="137">
        <v>150</v>
      </c>
      <c r="KXQ67" s="139">
        <f>SUM(KXL67:KXP67)</f>
        <v>8675</v>
      </c>
      <c r="KXR67" s="137">
        <v>200</v>
      </c>
      <c r="KXS67" s="139">
        <f>SUM(KXQ67:KXR67)</f>
        <v>8875</v>
      </c>
      <c r="KXT67" s="132" t="s">
        <v>113</v>
      </c>
      <c r="KXU67" s="133">
        <v>45845</v>
      </c>
      <c r="KXV67" s="128" t="s">
        <v>41</v>
      </c>
      <c r="KXW67" s="207"/>
      <c r="KXX67" s="134" t="s">
        <v>136</v>
      </c>
      <c r="KXY67" s="205"/>
      <c r="KXZ67" s="206"/>
      <c r="KYA67" s="128" t="s">
        <v>24</v>
      </c>
      <c r="KYB67" s="129">
        <v>8150</v>
      </c>
      <c r="KYC67" s="137">
        <v>85</v>
      </c>
      <c r="KYD67" s="138">
        <v>215</v>
      </c>
      <c r="KYE67" s="138">
        <v>75</v>
      </c>
      <c r="KYF67" s="137">
        <v>150</v>
      </c>
      <c r="KYG67" s="139">
        <f>SUM(KYB67:KYF67)</f>
        <v>8675</v>
      </c>
      <c r="KYH67" s="137">
        <v>200</v>
      </c>
      <c r="KYI67" s="139">
        <f>SUM(KYG67:KYH67)</f>
        <v>8875</v>
      </c>
      <c r="KYJ67" s="132" t="s">
        <v>113</v>
      </c>
      <c r="KYK67" s="133">
        <v>45845</v>
      </c>
      <c r="KYL67" s="128" t="s">
        <v>41</v>
      </c>
      <c r="KYM67" s="207"/>
      <c r="KYN67" s="134" t="s">
        <v>136</v>
      </c>
      <c r="KYO67" s="205"/>
      <c r="KYP67" s="206"/>
      <c r="KYQ67" s="128" t="s">
        <v>24</v>
      </c>
      <c r="KYR67" s="129">
        <v>8150</v>
      </c>
      <c r="KYS67" s="137">
        <v>85</v>
      </c>
      <c r="KYT67" s="138">
        <v>215</v>
      </c>
      <c r="KYU67" s="138">
        <v>75</v>
      </c>
      <c r="KYV67" s="137">
        <v>150</v>
      </c>
      <c r="KYW67" s="139">
        <f>SUM(KYR67:KYV67)</f>
        <v>8675</v>
      </c>
      <c r="KYX67" s="137">
        <v>200</v>
      </c>
      <c r="KYY67" s="139">
        <f>SUM(KYW67:KYX67)</f>
        <v>8875</v>
      </c>
      <c r="KYZ67" s="132" t="s">
        <v>113</v>
      </c>
      <c r="KZA67" s="133">
        <v>45845</v>
      </c>
      <c r="KZB67" s="128" t="s">
        <v>41</v>
      </c>
      <c r="KZC67" s="207"/>
      <c r="KZD67" s="134" t="s">
        <v>136</v>
      </c>
      <c r="KZE67" s="205"/>
      <c r="KZF67" s="206"/>
      <c r="KZG67" s="128" t="s">
        <v>24</v>
      </c>
      <c r="KZH67" s="129">
        <v>8150</v>
      </c>
      <c r="KZI67" s="137">
        <v>85</v>
      </c>
      <c r="KZJ67" s="138">
        <v>215</v>
      </c>
      <c r="KZK67" s="138">
        <v>75</v>
      </c>
      <c r="KZL67" s="137">
        <v>150</v>
      </c>
      <c r="KZM67" s="139">
        <f>SUM(KZH67:KZL67)</f>
        <v>8675</v>
      </c>
      <c r="KZN67" s="137">
        <v>200</v>
      </c>
      <c r="KZO67" s="139">
        <f>SUM(KZM67:KZN67)</f>
        <v>8875</v>
      </c>
      <c r="KZP67" s="132" t="s">
        <v>113</v>
      </c>
      <c r="KZQ67" s="133">
        <v>45845</v>
      </c>
      <c r="KZR67" s="128" t="s">
        <v>41</v>
      </c>
      <c r="KZS67" s="207"/>
      <c r="KZT67" s="134" t="s">
        <v>136</v>
      </c>
      <c r="KZU67" s="205"/>
      <c r="KZV67" s="206"/>
      <c r="KZW67" s="128" t="s">
        <v>24</v>
      </c>
      <c r="KZX67" s="129">
        <v>8150</v>
      </c>
      <c r="KZY67" s="137">
        <v>85</v>
      </c>
      <c r="KZZ67" s="138">
        <v>215</v>
      </c>
      <c r="LAA67" s="138">
        <v>75</v>
      </c>
      <c r="LAB67" s="137">
        <v>150</v>
      </c>
      <c r="LAC67" s="139">
        <f>SUM(KZX67:LAB67)</f>
        <v>8675</v>
      </c>
      <c r="LAD67" s="137">
        <v>200</v>
      </c>
      <c r="LAE67" s="139">
        <f>SUM(LAC67:LAD67)</f>
        <v>8875</v>
      </c>
      <c r="LAF67" s="132" t="s">
        <v>113</v>
      </c>
      <c r="LAG67" s="133">
        <v>45845</v>
      </c>
      <c r="LAH67" s="128" t="s">
        <v>41</v>
      </c>
      <c r="LAI67" s="207"/>
      <c r="LAJ67" s="134" t="s">
        <v>136</v>
      </c>
      <c r="LAK67" s="205"/>
      <c r="LAL67" s="206"/>
      <c r="LAM67" s="128" t="s">
        <v>24</v>
      </c>
      <c r="LAN67" s="129">
        <v>8150</v>
      </c>
      <c r="LAO67" s="137">
        <v>85</v>
      </c>
      <c r="LAP67" s="138">
        <v>215</v>
      </c>
      <c r="LAQ67" s="138">
        <v>75</v>
      </c>
      <c r="LAR67" s="137">
        <v>150</v>
      </c>
      <c r="LAS67" s="139">
        <f>SUM(LAN67:LAR67)</f>
        <v>8675</v>
      </c>
      <c r="LAT67" s="137">
        <v>200</v>
      </c>
      <c r="LAU67" s="139">
        <f>SUM(LAS67:LAT67)</f>
        <v>8875</v>
      </c>
      <c r="LAV67" s="132" t="s">
        <v>113</v>
      </c>
      <c r="LAW67" s="133">
        <v>45845</v>
      </c>
      <c r="LAX67" s="128" t="s">
        <v>41</v>
      </c>
      <c r="LAY67" s="207"/>
      <c r="LAZ67" s="134" t="s">
        <v>136</v>
      </c>
      <c r="LBA67" s="205"/>
      <c r="LBB67" s="206"/>
      <c r="LBC67" s="128" t="s">
        <v>24</v>
      </c>
      <c r="LBD67" s="129">
        <v>8150</v>
      </c>
      <c r="LBE67" s="137">
        <v>85</v>
      </c>
      <c r="LBF67" s="138">
        <v>215</v>
      </c>
      <c r="LBG67" s="138">
        <v>75</v>
      </c>
      <c r="LBH67" s="137">
        <v>150</v>
      </c>
      <c r="LBI67" s="139">
        <f>SUM(LBD67:LBH67)</f>
        <v>8675</v>
      </c>
      <c r="LBJ67" s="137">
        <v>200</v>
      </c>
      <c r="LBK67" s="139">
        <f>SUM(LBI67:LBJ67)</f>
        <v>8875</v>
      </c>
      <c r="LBL67" s="132" t="s">
        <v>113</v>
      </c>
      <c r="LBM67" s="133">
        <v>45845</v>
      </c>
      <c r="LBN67" s="128" t="s">
        <v>41</v>
      </c>
      <c r="LBO67" s="207"/>
      <c r="LBP67" s="134" t="s">
        <v>136</v>
      </c>
      <c r="LBQ67" s="205"/>
      <c r="LBR67" s="206"/>
      <c r="LBS67" s="128" t="s">
        <v>24</v>
      </c>
      <c r="LBT67" s="129">
        <v>8150</v>
      </c>
      <c r="LBU67" s="137">
        <v>85</v>
      </c>
      <c r="LBV67" s="138">
        <v>215</v>
      </c>
      <c r="LBW67" s="138">
        <v>75</v>
      </c>
      <c r="LBX67" s="137">
        <v>150</v>
      </c>
      <c r="LBY67" s="139">
        <f>SUM(LBT67:LBX67)</f>
        <v>8675</v>
      </c>
      <c r="LBZ67" s="137">
        <v>200</v>
      </c>
      <c r="LCA67" s="139">
        <f>SUM(LBY67:LBZ67)</f>
        <v>8875</v>
      </c>
      <c r="LCB67" s="132" t="s">
        <v>113</v>
      </c>
      <c r="LCC67" s="133">
        <v>45845</v>
      </c>
      <c r="LCD67" s="128" t="s">
        <v>41</v>
      </c>
      <c r="LCE67" s="207"/>
      <c r="LCF67" s="134" t="s">
        <v>136</v>
      </c>
      <c r="LCG67" s="205"/>
      <c r="LCH67" s="206"/>
      <c r="LCI67" s="128" t="s">
        <v>24</v>
      </c>
      <c r="LCJ67" s="129">
        <v>8150</v>
      </c>
      <c r="LCK67" s="137">
        <v>85</v>
      </c>
      <c r="LCL67" s="138">
        <v>215</v>
      </c>
      <c r="LCM67" s="138">
        <v>75</v>
      </c>
      <c r="LCN67" s="137">
        <v>150</v>
      </c>
      <c r="LCO67" s="139">
        <f>SUM(LCJ67:LCN67)</f>
        <v>8675</v>
      </c>
      <c r="LCP67" s="137">
        <v>200</v>
      </c>
      <c r="LCQ67" s="139">
        <f>SUM(LCO67:LCP67)</f>
        <v>8875</v>
      </c>
      <c r="LCR67" s="132" t="s">
        <v>113</v>
      </c>
      <c r="LCS67" s="133">
        <v>45845</v>
      </c>
      <c r="LCT67" s="128" t="s">
        <v>41</v>
      </c>
      <c r="LCU67" s="207"/>
      <c r="LCV67" s="134" t="s">
        <v>136</v>
      </c>
      <c r="LCW67" s="205"/>
      <c r="LCX67" s="206"/>
      <c r="LCY67" s="128" t="s">
        <v>24</v>
      </c>
      <c r="LCZ67" s="129">
        <v>8150</v>
      </c>
      <c r="LDA67" s="137">
        <v>85</v>
      </c>
      <c r="LDB67" s="138">
        <v>215</v>
      </c>
      <c r="LDC67" s="138">
        <v>75</v>
      </c>
      <c r="LDD67" s="137">
        <v>150</v>
      </c>
      <c r="LDE67" s="139">
        <f>SUM(LCZ67:LDD67)</f>
        <v>8675</v>
      </c>
      <c r="LDF67" s="137">
        <v>200</v>
      </c>
      <c r="LDG67" s="139">
        <f>SUM(LDE67:LDF67)</f>
        <v>8875</v>
      </c>
      <c r="LDH67" s="132" t="s">
        <v>113</v>
      </c>
      <c r="LDI67" s="133">
        <v>45845</v>
      </c>
      <c r="LDJ67" s="128" t="s">
        <v>41</v>
      </c>
      <c r="LDK67" s="207"/>
      <c r="LDL67" s="134" t="s">
        <v>136</v>
      </c>
      <c r="LDM67" s="205"/>
      <c r="LDN67" s="206"/>
      <c r="LDO67" s="128" t="s">
        <v>24</v>
      </c>
      <c r="LDP67" s="129">
        <v>8150</v>
      </c>
      <c r="LDQ67" s="137">
        <v>85</v>
      </c>
      <c r="LDR67" s="138">
        <v>215</v>
      </c>
      <c r="LDS67" s="138">
        <v>75</v>
      </c>
      <c r="LDT67" s="137">
        <v>150</v>
      </c>
      <c r="LDU67" s="139">
        <f>SUM(LDP67:LDT67)</f>
        <v>8675</v>
      </c>
      <c r="LDV67" s="137">
        <v>200</v>
      </c>
      <c r="LDW67" s="139">
        <f>SUM(LDU67:LDV67)</f>
        <v>8875</v>
      </c>
      <c r="LDX67" s="132" t="s">
        <v>113</v>
      </c>
      <c r="LDY67" s="133">
        <v>45845</v>
      </c>
      <c r="LDZ67" s="128" t="s">
        <v>41</v>
      </c>
      <c r="LEA67" s="207"/>
      <c r="LEB67" s="134" t="s">
        <v>136</v>
      </c>
      <c r="LEC67" s="205"/>
      <c r="LED67" s="206"/>
      <c r="LEE67" s="128" t="s">
        <v>24</v>
      </c>
      <c r="LEF67" s="129">
        <v>8150</v>
      </c>
      <c r="LEG67" s="137">
        <v>85</v>
      </c>
      <c r="LEH67" s="138">
        <v>215</v>
      </c>
      <c r="LEI67" s="138">
        <v>75</v>
      </c>
      <c r="LEJ67" s="137">
        <v>150</v>
      </c>
      <c r="LEK67" s="139">
        <f>SUM(LEF67:LEJ67)</f>
        <v>8675</v>
      </c>
      <c r="LEL67" s="137">
        <v>200</v>
      </c>
      <c r="LEM67" s="139">
        <f>SUM(LEK67:LEL67)</f>
        <v>8875</v>
      </c>
      <c r="LEN67" s="132" t="s">
        <v>113</v>
      </c>
      <c r="LEO67" s="133">
        <v>45845</v>
      </c>
      <c r="LEP67" s="128" t="s">
        <v>41</v>
      </c>
      <c r="LEQ67" s="207"/>
      <c r="LER67" s="134" t="s">
        <v>136</v>
      </c>
      <c r="LES67" s="205"/>
      <c r="LET67" s="206"/>
      <c r="LEU67" s="128" t="s">
        <v>24</v>
      </c>
      <c r="LEV67" s="129">
        <v>8150</v>
      </c>
      <c r="LEW67" s="137">
        <v>85</v>
      </c>
      <c r="LEX67" s="138">
        <v>215</v>
      </c>
      <c r="LEY67" s="138">
        <v>75</v>
      </c>
      <c r="LEZ67" s="137">
        <v>150</v>
      </c>
      <c r="LFA67" s="139">
        <f>SUM(LEV67:LEZ67)</f>
        <v>8675</v>
      </c>
      <c r="LFB67" s="137">
        <v>200</v>
      </c>
      <c r="LFC67" s="139">
        <f>SUM(LFA67:LFB67)</f>
        <v>8875</v>
      </c>
      <c r="LFD67" s="132" t="s">
        <v>113</v>
      </c>
      <c r="LFE67" s="133">
        <v>45845</v>
      </c>
      <c r="LFF67" s="128" t="s">
        <v>41</v>
      </c>
      <c r="LFG67" s="207"/>
      <c r="LFH67" s="134" t="s">
        <v>136</v>
      </c>
      <c r="LFI67" s="205"/>
      <c r="LFJ67" s="206"/>
      <c r="LFK67" s="128" t="s">
        <v>24</v>
      </c>
      <c r="LFL67" s="129">
        <v>8150</v>
      </c>
      <c r="LFM67" s="137">
        <v>85</v>
      </c>
      <c r="LFN67" s="138">
        <v>215</v>
      </c>
      <c r="LFO67" s="138">
        <v>75</v>
      </c>
      <c r="LFP67" s="137">
        <v>150</v>
      </c>
      <c r="LFQ67" s="139">
        <f>SUM(LFL67:LFP67)</f>
        <v>8675</v>
      </c>
      <c r="LFR67" s="137">
        <v>200</v>
      </c>
      <c r="LFS67" s="139">
        <f>SUM(LFQ67:LFR67)</f>
        <v>8875</v>
      </c>
      <c r="LFT67" s="132" t="s">
        <v>113</v>
      </c>
      <c r="LFU67" s="133">
        <v>45845</v>
      </c>
      <c r="LFV67" s="128" t="s">
        <v>41</v>
      </c>
      <c r="LFW67" s="207"/>
      <c r="LFX67" s="134" t="s">
        <v>136</v>
      </c>
      <c r="LFY67" s="205"/>
      <c r="LFZ67" s="206"/>
      <c r="LGA67" s="128" t="s">
        <v>24</v>
      </c>
      <c r="LGB67" s="129">
        <v>8150</v>
      </c>
      <c r="LGC67" s="137">
        <v>85</v>
      </c>
      <c r="LGD67" s="138">
        <v>215</v>
      </c>
      <c r="LGE67" s="138">
        <v>75</v>
      </c>
      <c r="LGF67" s="137">
        <v>150</v>
      </c>
      <c r="LGG67" s="139">
        <f>SUM(LGB67:LGF67)</f>
        <v>8675</v>
      </c>
      <c r="LGH67" s="137">
        <v>200</v>
      </c>
      <c r="LGI67" s="139">
        <f>SUM(LGG67:LGH67)</f>
        <v>8875</v>
      </c>
      <c r="LGJ67" s="132" t="s">
        <v>113</v>
      </c>
      <c r="LGK67" s="133">
        <v>45845</v>
      </c>
      <c r="LGL67" s="128" t="s">
        <v>41</v>
      </c>
      <c r="LGM67" s="207"/>
      <c r="LGN67" s="134" t="s">
        <v>136</v>
      </c>
      <c r="LGO67" s="205"/>
      <c r="LGP67" s="206"/>
      <c r="LGQ67" s="128" t="s">
        <v>24</v>
      </c>
      <c r="LGR67" s="129">
        <v>8150</v>
      </c>
      <c r="LGS67" s="137">
        <v>85</v>
      </c>
      <c r="LGT67" s="138">
        <v>215</v>
      </c>
      <c r="LGU67" s="138">
        <v>75</v>
      </c>
      <c r="LGV67" s="137">
        <v>150</v>
      </c>
      <c r="LGW67" s="139">
        <f>SUM(LGR67:LGV67)</f>
        <v>8675</v>
      </c>
      <c r="LGX67" s="137">
        <v>200</v>
      </c>
      <c r="LGY67" s="139">
        <f>SUM(LGW67:LGX67)</f>
        <v>8875</v>
      </c>
      <c r="LGZ67" s="132" t="s">
        <v>113</v>
      </c>
      <c r="LHA67" s="133">
        <v>45845</v>
      </c>
      <c r="LHB67" s="128" t="s">
        <v>41</v>
      </c>
      <c r="LHC67" s="207"/>
      <c r="LHD67" s="134" t="s">
        <v>136</v>
      </c>
      <c r="LHE67" s="205"/>
      <c r="LHF67" s="206"/>
      <c r="LHG67" s="128" t="s">
        <v>24</v>
      </c>
      <c r="LHH67" s="129">
        <v>8150</v>
      </c>
      <c r="LHI67" s="137">
        <v>85</v>
      </c>
      <c r="LHJ67" s="138">
        <v>215</v>
      </c>
      <c r="LHK67" s="138">
        <v>75</v>
      </c>
      <c r="LHL67" s="137">
        <v>150</v>
      </c>
      <c r="LHM67" s="139">
        <f>SUM(LHH67:LHL67)</f>
        <v>8675</v>
      </c>
      <c r="LHN67" s="137">
        <v>200</v>
      </c>
      <c r="LHO67" s="139">
        <f>SUM(LHM67:LHN67)</f>
        <v>8875</v>
      </c>
      <c r="LHP67" s="132" t="s">
        <v>113</v>
      </c>
      <c r="LHQ67" s="133">
        <v>45845</v>
      </c>
      <c r="LHR67" s="128" t="s">
        <v>41</v>
      </c>
      <c r="LHS67" s="207"/>
      <c r="LHT67" s="134" t="s">
        <v>136</v>
      </c>
      <c r="LHU67" s="205"/>
      <c r="LHV67" s="206"/>
      <c r="LHW67" s="128" t="s">
        <v>24</v>
      </c>
      <c r="LHX67" s="129">
        <v>8150</v>
      </c>
      <c r="LHY67" s="137">
        <v>85</v>
      </c>
      <c r="LHZ67" s="138">
        <v>215</v>
      </c>
      <c r="LIA67" s="138">
        <v>75</v>
      </c>
      <c r="LIB67" s="137">
        <v>150</v>
      </c>
      <c r="LIC67" s="139">
        <f>SUM(LHX67:LIB67)</f>
        <v>8675</v>
      </c>
      <c r="LID67" s="137">
        <v>200</v>
      </c>
      <c r="LIE67" s="139">
        <f>SUM(LIC67:LID67)</f>
        <v>8875</v>
      </c>
      <c r="LIF67" s="132" t="s">
        <v>113</v>
      </c>
      <c r="LIG67" s="133">
        <v>45845</v>
      </c>
      <c r="LIH67" s="128" t="s">
        <v>41</v>
      </c>
      <c r="LII67" s="207"/>
      <c r="LIJ67" s="134" t="s">
        <v>136</v>
      </c>
      <c r="LIK67" s="205"/>
      <c r="LIL67" s="206"/>
      <c r="LIM67" s="128" t="s">
        <v>24</v>
      </c>
      <c r="LIN67" s="129">
        <v>8150</v>
      </c>
      <c r="LIO67" s="137">
        <v>85</v>
      </c>
      <c r="LIP67" s="138">
        <v>215</v>
      </c>
      <c r="LIQ67" s="138">
        <v>75</v>
      </c>
      <c r="LIR67" s="137">
        <v>150</v>
      </c>
      <c r="LIS67" s="139">
        <f>SUM(LIN67:LIR67)</f>
        <v>8675</v>
      </c>
      <c r="LIT67" s="137">
        <v>200</v>
      </c>
      <c r="LIU67" s="139">
        <f>SUM(LIS67:LIT67)</f>
        <v>8875</v>
      </c>
      <c r="LIV67" s="132" t="s">
        <v>113</v>
      </c>
      <c r="LIW67" s="133">
        <v>45845</v>
      </c>
      <c r="LIX67" s="128" t="s">
        <v>41</v>
      </c>
      <c r="LIY67" s="207"/>
      <c r="LIZ67" s="134" t="s">
        <v>136</v>
      </c>
      <c r="LJA67" s="205"/>
      <c r="LJB67" s="206"/>
      <c r="LJC67" s="128" t="s">
        <v>24</v>
      </c>
      <c r="LJD67" s="129">
        <v>8150</v>
      </c>
      <c r="LJE67" s="137">
        <v>85</v>
      </c>
      <c r="LJF67" s="138">
        <v>215</v>
      </c>
      <c r="LJG67" s="138">
        <v>75</v>
      </c>
      <c r="LJH67" s="137">
        <v>150</v>
      </c>
      <c r="LJI67" s="139">
        <f>SUM(LJD67:LJH67)</f>
        <v>8675</v>
      </c>
      <c r="LJJ67" s="137">
        <v>200</v>
      </c>
      <c r="LJK67" s="139">
        <f>SUM(LJI67:LJJ67)</f>
        <v>8875</v>
      </c>
      <c r="LJL67" s="132" t="s">
        <v>113</v>
      </c>
      <c r="LJM67" s="133">
        <v>45845</v>
      </c>
      <c r="LJN67" s="128" t="s">
        <v>41</v>
      </c>
      <c r="LJO67" s="207"/>
      <c r="LJP67" s="134" t="s">
        <v>136</v>
      </c>
      <c r="LJQ67" s="205"/>
      <c r="LJR67" s="206"/>
      <c r="LJS67" s="128" t="s">
        <v>24</v>
      </c>
      <c r="LJT67" s="129">
        <v>8150</v>
      </c>
      <c r="LJU67" s="137">
        <v>85</v>
      </c>
      <c r="LJV67" s="138">
        <v>215</v>
      </c>
      <c r="LJW67" s="138">
        <v>75</v>
      </c>
      <c r="LJX67" s="137">
        <v>150</v>
      </c>
      <c r="LJY67" s="139">
        <f>SUM(LJT67:LJX67)</f>
        <v>8675</v>
      </c>
      <c r="LJZ67" s="137">
        <v>200</v>
      </c>
      <c r="LKA67" s="139">
        <f>SUM(LJY67:LJZ67)</f>
        <v>8875</v>
      </c>
      <c r="LKB67" s="132" t="s">
        <v>113</v>
      </c>
      <c r="LKC67" s="133">
        <v>45845</v>
      </c>
      <c r="LKD67" s="128" t="s">
        <v>41</v>
      </c>
      <c r="LKE67" s="207"/>
      <c r="LKF67" s="134" t="s">
        <v>136</v>
      </c>
      <c r="LKG67" s="205"/>
      <c r="LKH67" s="206"/>
      <c r="LKI67" s="128" t="s">
        <v>24</v>
      </c>
      <c r="LKJ67" s="129">
        <v>8150</v>
      </c>
      <c r="LKK67" s="137">
        <v>85</v>
      </c>
      <c r="LKL67" s="138">
        <v>215</v>
      </c>
      <c r="LKM67" s="138">
        <v>75</v>
      </c>
      <c r="LKN67" s="137">
        <v>150</v>
      </c>
      <c r="LKO67" s="139">
        <f>SUM(LKJ67:LKN67)</f>
        <v>8675</v>
      </c>
      <c r="LKP67" s="137">
        <v>200</v>
      </c>
      <c r="LKQ67" s="139">
        <f>SUM(LKO67:LKP67)</f>
        <v>8875</v>
      </c>
      <c r="LKR67" s="132" t="s">
        <v>113</v>
      </c>
      <c r="LKS67" s="133">
        <v>45845</v>
      </c>
      <c r="LKT67" s="128" t="s">
        <v>41</v>
      </c>
      <c r="LKU67" s="207"/>
      <c r="LKV67" s="134" t="s">
        <v>136</v>
      </c>
      <c r="LKW67" s="205"/>
      <c r="LKX67" s="206"/>
      <c r="LKY67" s="128" t="s">
        <v>24</v>
      </c>
      <c r="LKZ67" s="129">
        <v>8150</v>
      </c>
      <c r="LLA67" s="137">
        <v>85</v>
      </c>
      <c r="LLB67" s="138">
        <v>215</v>
      </c>
      <c r="LLC67" s="138">
        <v>75</v>
      </c>
      <c r="LLD67" s="137">
        <v>150</v>
      </c>
      <c r="LLE67" s="139">
        <f>SUM(LKZ67:LLD67)</f>
        <v>8675</v>
      </c>
      <c r="LLF67" s="137">
        <v>200</v>
      </c>
      <c r="LLG67" s="139">
        <f>SUM(LLE67:LLF67)</f>
        <v>8875</v>
      </c>
      <c r="LLH67" s="132" t="s">
        <v>113</v>
      </c>
      <c r="LLI67" s="133">
        <v>45845</v>
      </c>
      <c r="LLJ67" s="128" t="s">
        <v>41</v>
      </c>
      <c r="LLK67" s="207"/>
      <c r="LLL67" s="134" t="s">
        <v>136</v>
      </c>
      <c r="LLM67" s="205"/>
      <c r="LLN67" s="206"/>
      <c r="LLO67" s="128" t="s">
        <v>24</v>
      </c>
      <c r="LLP67" s="129">
        <v>8150</v>
      </c>
      <c r="LLQ67" s="137">
        <v>85</v>
      </c>
      <c r="LLR67" s="138">
        <v>215</v>
      </c>
      <c r="LLS67" s="138">
        <v>75</v>
      </c>
      <c r="LLT67" s="137">
        <v>150</v>
      </c>
      <c r="LLU67" s="139">
        <f>SUM(LLP67:LLT67)</f>
        <v>8675</v>
      </c>
      <c r="LLV67" s="137">
        <v>200</v>
      </c>
      <c r="LLW67" s="139">
        <f>SUM(LLU67:LLV67)</f>
        <v>8875</v>
      </c>
      <c r="LLX67" s="132" t="s">
        <v>113</v>
      </c>
      <c r="LLY67" s="133">
        <v>45845</v>
      </c>
      <c r="LLZ67" s="128" t="s">
        <v>41</v>
      </c>
      <c r="LMA67" s="207"/>
      <c r="LMB67" s="134" t="s">
        <v>136</v>
      </c>
      <c r="LMC67" s="205"/>
      <c r="LMD67" s="206"/>
      <c r="LME67" s="128" t="s">
        <v>24</v>
      </c>
      <c r="LMF67" s="129">
        <v>8150</v>
      </c>
      <c r="LMG67" s="137">
        <v>85</v>
      </c>
      <c r="LMH67" s="138">
        <v>215</v>
      </c>
      <c r="LMI67" s="138">
        <v>75</v>
      </c>
      <c r="LMJ67" s="137">
        <v>150</v>
      </c>
      <c r="LMK67" s="139">
        <f>SUM(LMF67:LMJ67)</f>
        <v>8675</v>
      </c>
      <c r="LML67" s="137">
        <v>200</v>
      </c>
      <c r="LMM67" s="139">
        <f>SUM(LMK67:LML67)</f>
        <v>8875</v>
      </c>
      <c r="LMN67" s="132" t="s">
        <v>113</v>
      </c>
      <c r="LMO67" s="133">
        <v>45845</v>
      </c>
      <c r="LMP67" s="128" t="s">
        <v>41</v>
      </c>
      <c r="LMQ67" s="207"/>
      <c r="LMR67" s="134" t="s">
        <v>136</v>
      </c>
      <c r="LMS67" s="205"/>
      <c r="LMT67" s="206"/>
      <c r="LMU67" s="128" t="s">
        <v>24</v>
      </c>
      <c r="LMV67" s="129">
        <v>8150</v>
      </c>
      <c r="LMW67" s="137">
        <v>85</v>
      </c>
      <c r="LMX67" s="138">
        <v>215</v>
      </c>
      <c r="LMY67" s="138">
        <v>75</v>
      </c>
      <c r="LMZ67" s="137">
        <v>150</v>
      </c>
      <c r="LNA67" s="139">
        <f>SUM(LMV67:LMZ67)</f>
        <v>8675</v>
      </c>
      <c r="LNB67" s="137">
        <v>200</v>
      </c>
      <c r="LNC67" s="139">
        <f>SUM(LNA67:LNB67)</f>
        <v>8875</v>
      </c>
      <c r="LND67" s="132" t="s">
        <v>113</v>
      </c>
      <c r="LNE67" s="133">
        <v>45845</v>
      </c>
      <c r="LNF67" s="128" t="s">
        <v>41</v>
      </c>
      <c r="LNG67" s="207"/>
      <c r="LNH67" s="134" t="s">
        <v>136</v>
      </c>
      <c r="LNI67" s="205"/>
      <c r="LNJ67" s="206"/>
      <c r="LNK67" s="128" t="s">
        <v>24</v>
      </c>
      <c r="LNL67" s="129">
        <v>8150</v>
      </c>
      <c r="LNM67" s="137">
        <v>85</v>
      </c>
      <c r="LNN67" s="138">
        <v>215</v>
      </c>
      <c r="LNO67" s="138">
        <v>75</v>
      </c>
      <c r="LNP67" s="137">
        <v>150</v>
      </c>
      <c r="LNQ67" s="139">
        <f>SUM(LNL67:LNP67)</f>
        <v>8675</v>
      </c>
      <c r="LNR67" s="137">
        <v>200</v>
      </c>
      <c r="LNS67" s="139">
        <f>SUM(LNQ67:LNR67)</f>
        <v>8875</v>
      </c>
      <c r="LNT67" s="132" t="s">
        <v>113</v>
      </c>
      <c r="LNU67" s="133">
        <v>45845</v>
      </c>
      <c r="LNV67" s="128" t="s">
        <v>41</v>
      </c>
      <c r="LNW67" s="207"/>
      <c r="LNX67" s="134" t="s">
        <v>136</v>
      </c>
      <c r="LNY67" s="205"/>
      <c r="LNZ67" s="206"/>
      <c r="LOA67" s="128" t="s">
        <v>24</v>
      </c>
      <c r="LOB67" s="129">
        <v>8150</v>
      </c>
      <c r="LOC67" s="137">
        <v>85</v>
      </c>
      <c r="LOD67" s="138">
        <v>215</v>
      </c>
      <c r="LOE67" s="138">
        <v>75</v>
      </c>
      <c r="LOF67" s="137">
        <v>150</v>
      </c>
      <c r="LOG67" s="139">
        <f>SUM(LOB67:LOF67)</f>
        <v>8675</v>
      </c>
      <c r="LOH67" s="137">
        <v>200</v>
      </c>
      <c r="LOI67" s="139">
        <f>SUM(LOG67:LOH67)</f>
        <v>8875</v>
      </c>
      <c r="LOJ67" s="132" t="s">
        <v>113</v>
      </c>
      <c r="LOK67" s="133">
        <v>45845</v>
      </c>
      <c r="LOL67" s="128" t="s">
        <v>41</v>
      </c>
      <c r="LOM67" s="207"/>
      <c r="LON67" s="134" t="s">
        <v>136</v>
      </c>
      <c r="LOO67" s="205"/>
      <c r="LOP67" s="206"/>
      <c r="LOQ67" s="128" t="s">
        <v>24</v>
      </c>
      <c r="LOR67" s="129">
        <v>8150</v>
      </c>
      <c r="LOS67" s="137">
        <v>85</v>
      </c>
      <c r="LOT67" s="138">
        <v>215</v>
      </c>
      <c r="LOU67" s="138">
        <v>75</v>
      </c>
      <c r="LOV67" s="137">
        <v>150</v>
      </c>
      <c r="LOW67" s="139">
        <f>SUM(LOR67:LOV67)</f>
        <v>8675</v>
      </c>
      <c r="LOX67" s="137">
        <v>200</v>
      </c>
      <c r="LOY67" s="139">
        <f>SUM(LOW67:LOX67)</f>
        <v>8875</v>
      </c>
      <c r="LOZ67" s="132" t="s">
        <v>113</v>
      </c>
      <c r="LPA67" s="133">
        <v>45845</v>
      </c>
      <c r="LPB67" s="128" t="s">
        <v>41</v>
      </c>
      <c r="LPC67" s="207"/>
      <c r="LPD67" s="134" t="s">
        <v>136</v>
      </c>
      <c r="LPE67" s="205"/>
      <c r="LPF67" s="206"/>
      <c r="LPG67" s="128" t="s">
        <v>24</v>
      </c>
      <c r="LPH67" s="129">
        <v>8150</v>
      </c>
      <c r="LPI67" s="137">
        <v>85</v>
      </c>
      <c r="LPJ67" s="138">
        <v>215</v>
      </c>
      <c r="LPK67" s="138">
        <v>75</v>
      </c>
      <c r="LPL67" s="137">
        <v>150</v>
      </c>
      <c r="LPM67" s="139">
        <f>SUM(LPH67:LPL67)</f>
        <v>8675</v>
      </c>
      <c r="LPN67" s="137">
        <v>200</v>
      </c>
      <c r="LPO67" s="139">
        <f>SUM(LPM67:LPN67)</f>
        <v>8875</v>
      </c>
      <c r="LPP67" s="132" t="s">
        <v>113</v>
      </c>
      <c r="LPQ67" s="133">
        <v>45845</v>
      </c>
      <c r="LPR67" s="128" t="s">
        <v>41</v>
      </c>
      <c r="LPS67" s="207"/>
      <c r="LPT67" s="134" t="s">
        <v>136</v>
      </c>
      <c r="LPU67" s="205"/>
      <c r="LPV67" s="206"/>
      <c r="LPW67" s="128" t="s">
        <v>24</v>
      </c>
      <c r="LPX67" s="129">
        <v>8150</v>
      </c>
      <c r="LPY67" s="137">
        <v>85</v>
      </c>
      <c r="LPZ67" s="138">
        <v>215</v>
      </c>
      <c r="LQA67" s="138">
        <v>75</v>
      </c>
      <c r="LQB67" s="137">
        <v>150</v>
      </c>
      <c r="LQC67" s="139">
        <f>SUM(LPX67:LQB67)</f>
        <v>8675</v>
      </c>
      <c r="LQD67" s="137">
        <v>200</v>
      </c>
      <c r="LQE67" s="139">
        <f>SUM(LQC67:LQD67)</f>
        <v>8875</v>
      </c>
      <c r="LQF67" s="132" t="s">
        <v>113</v>
      </c>
      <c r="LQG67" s="133">
        <v>45845</v>
      </c>
      <c r="LQH67" s="128" t="s">
        <v>41</v>
      </c>
      <c r="LQI67" s="207"/>
      <c r="LQJ67" s="134" t="s">
        <v>136</v>
      </c>
      <c r="LQK67" s="205"/>
      <c r="LQL67" s="206"/>
      <c r="LQM67" s="128" t="s">
        <v>24</v>
      </c>
      <c r="LQN67" s="129">
        <v>8150</v>
      </c>
      <c r="LQO67" s="137">
        <v>85</v>
      </c>
      <c r="LQP67" s="138">
        <v>215</v>
      </c>
      <c r="LQQ67" s="138">
        <v>75</v>
      </c>
      <c r="LQR67" s="137">
        <v>150</v>
      </c>
      <c r="LQS67" s="139">
        <f>SUM(LQN67:LQR67)</f>
        <v>8675</v>
      </c>
      <c r="LQT67" s="137">
        <v>200</v>
      </c>
      <c r="LQU67" s="139">
        <f>SUM(LQS67:LQT67)</f>
        <v>8875</v>
      </c>
      <c r="LQV67" s="132" t="s">
        <v>113</v>
      </c>
      <c r="LQW67" s="133">
        <v>45845</v>
      </c>
      <c r="LQX67" s="128" t="s">
        <v>41</v>
      </c>
      <c r="LQY67" s="207"/>
      <c r="LQZ67" s="134" t="s">
        <v>136</v>
      </c>
      <c r="LRA67" s="205"/>
      <c r="LRB67" s="206"/>
      <c r="LRC67" s="128" t="s">
        <v>24</v>
      </c>
      <c r="LRD67" s="129">
        <v>8150</v>
      </c>
      <c r="LRE67" s="137">
        <v>85</v>
      </c>
      <c r="LRF67" s="138">
        <v>215</v>
      </c>
      <c r="LRG67" s="138">
        <v>75</v>
      </c>
      <c r="LRH67" s="137">
        <v>150</v>
      </c>
      <c r="LRI67" s="139">
        <f>SUM(LRD67:LRH67)</f>
        <v>8675</v>
      </c>
      <c r="LRJ67" s="137">
        <v>200</v>
      </c>
      <c r="LRK67" s="139">
        <f>SUM(LRI67:LRJ67)</f>
        <v>8875</v>
      </c>
      <c r="LRL67" s="132" t="s">
        <v>113</v>
      </c>
      <c r="LRM67" s="133">
        <v>45845</v>
      </c>
      <c r="LRN67" s="128" t="s">
        <v>41</v>
      </c>
      <c r="LRO67" s="207"/>
      <c r="LRP67" s="134" t="s">
        <v>136</v>
      </c>
      <c r="LRQ67" s="205"/>
      <c r="LRR67" s="206"/>
      <c r="LRS67" s="128" t="s">
        <v>24</v>
      </c>
      <c r="LRT67" s="129">
        <v>8150</v>
      </c>
      <c r="LRU67" s="137">
        <v>85</v>
      </c>
      <c r="LRV67" s="138">
        <v>215</v>
      </c>
      <c r="LRW67" s="138">
        <v>75</v>
      </c>
      <c r="LRX67" s="137">
        <v>150</v>
      </c>
      <c r="LRY67" s="139">
        <f>SUM(LRT67:LRX67)</f>
        <v>8675</v>
      </c>
      <c r="LRZ67" s="137">
        <v>200</v>
      </c>
      <c r="LSA67" s="139">
        <f>SUM(LRY67:LRZ67)</f>
        <v>8875</v>
      </c>
      <c r="LSB67" s="132" t="s">
        <v>113</v>
      </c>
      <c r="LSC67" s="133">
        <v>45845</v>
      </c>
      <c r="LSD67" s="128" t="s">
        <v>41</v>
      </c>
      <c r="LSE67" s="207"/>
      <c r="LSF67" s="134" t="s">
        <v>136</v>
      </c>
      <c r="LSG67" s="205"/>
      <c r="LSH67" s="206"/>
      <c r="LSI67" s="128" t="s">
        <v>24</v>
      </c>
      <c r="LSJ67" s="129">
        <v>8150</v>
      </c>
      <c r="LSK67" s="137">
        <v>85</v>
      </c>
      <c r="LSL67" s="138">
        <v>215</v>
      </c>
      <c r="LSM67" s="138">
        <v>75</v>
      </c>
      <c r="LSN67" s="137">
        <v>150</v>
      </c>
      <c r="LSO67" s="139">
        <f>SUM(LSJ67:LSN67)</f>
        <v>8675</v>
      </c>
      <c r="LSP67" s="137">
        <v>200</v>
      </c>
      <c r="LSQ67" s="139">
        <f>SUM(LSO67:LSP67)</f>
        <v>8875</v>
      </c>
      <c r="LSR67" s="132" t="s">
        <v>113</v>
      </c>
      <c r="LSS67" s="133">
        <v>45845</v>
      </c>
      <c r="LST67" s="128" t="s">
        <v>41</v>
      </c>
      <c r="LSU67" s="207"/>
      <c r="LSV67" s="134" t="s">
        <v>136</v>
      </c>
      <c r="LSW67" s="205"/>
      <c r="LSX67" s="206"/>
      <c r="LSY67" s="128" t="s">
        <v>24</v>
      </c>
      <c r="LSZ67" s="129">
        <v>8150</v>
      </c>
      <c r="LTA67" s="137">
        <v>85</v>
      </c>
      <c r="LTB67" s="138">
        <v>215</v>
      </c>
      <c r="LTC67" s="138">
        <v>75</v>
      </c>
      <c r="LTD67" s="137">
        <v>150</v>
      </c>
      <c r="LTE67" s="139">
        <f>SUM(LSZ67:LTD67)</f>
        <v>8675</v>
      </c>
      <c r="LTF67" s="137">
        <v>200</v>
      </c>
      <c r="LTG67" s="139">
        <f>SUM(LTE67:LTF67)</f>
        <v>8875</v>
      </c>
      <c r="LTH67" s="132" t="s">
        <v>113</v>
      </c>
      <c r="LTI67" s="133">
        <v>45845</v>
      </c>
      <c r="LTJ67" s="128" t="s">
        <v>41</v>
      </c>
      <c r="LTK67" s="207"/>
      <c r="LTL67" s="134" t="s">
        <v>136</v>
      </c>
      <c r="LTM67" s="205"/>
      <c r="LTN67" s="206"/>
      <c r="LTO67" s="128" t="s">
        <v>24</v>
      </c>
      <c r="LTP67" s="129">
        <v>8150</v>
      </c>
      <c r="LTQ67" s="137">
        <v>85</v>
      </c>
      <c r="LTR67" s="138">
        <v>215</v>
      </c>
      <c r="LTS67" s="138">
        <v>75</v>
      </c>
      <c r="LTT67" s="137">
        <v>150</v>
      </c>
      <c r="LTU67" s="139">
        <f>SUM(LTP67:LTT67)</f>
        <v>8675</v>
      </c>
      <c r="LTV67" s="137">
        <v>200</v>
      </c>
      <c r="LTW67" s="139">
        <f>SUM(LTU67:LTV67)</f>
        <v>8875</v>
      </c>
      <c r="LTX67" s="132" t="s">
        <v>113</v>
      </c>
      <c r="LTY67" s="133">
        <v>45845</v>
      </c>
      <c r="LTZ67" s="128" t="s">
        <v>41</v>
      </c>
      <c r="LUA67" s="207"/>
      <c r="LUB67" s="134" t="s">
        <v>136</v>
      </c>
      <c r="LUC67" s="205"/>
      <c r="LUD67" s="206"/>
      <c r="LUE67" s="128" t="s">
        <v>24</v>
      </c>
      <c r="LUF67" s="129">
        <v>8150</v>
      </c>
      <c r="LUG67" s="137">
        <v>85</v>
      </c>
      <c r="LUH67" s="138">
        <v>215</v>
      </c>
      <c r="LUI67" s="138">
        <v>75</v>
      </c>
      <c r="LUJ67" s="137">
        <v>150</v>
      </c>
      <c r="LUK67" s="139">
        <f>SUM(LUF67:LUJ67)</f>
        <v>8675</v>
      </c>
      <c r="LUL67" s="137">
        <v>200</v>
      </c>
      <c r="LUM67" s="139">
        <f>SUM(LUK67:LUL67)</f>
        <v>8875</v>
      </c>
      <c r="LUN67" s="132" t="s">
        <v>113</v>
      </c>
      <c r="LUO67" s="133">
        <v>45845</v>
      </c>
      <c r="LUP67" s="128" t="s">
        <v>41</v>
      </c>
      <c r="LUQ67" s="207"/>
      <c r="LUR67" s="134" t="s">
        <v>136</v>
      </c>
      <c r="LUS67" s="205"/>
      <c r="LUT67" s="206"/>
      <c r="LUU67" s="128" t="s">
        <v>24</v>
      </c>
      <c r="LUV67" s="129">
        <v>8150</v>
      </c>
      <c r="LUW67" s="137">
        <v>85</v>
      </c>
      <c r="LUX67" s="138">
        <v>215</v>
      </c>
      <c r="LUY67" s="138">
        <v>75</v>
      </c>
      <c r="LUZ67" s="137">
        <v>150</v>
      </c>
      <c r="LVA67" s="139">
        <f>SUM(LUV67:LUZ67)</f>
        <v>8675</v>
      </c>
      <c r="LVB67" s="137">
        <v>200</v>
      </c>
      <c r="LVC67" s="139">
        <f>SUM(LVA67:LVB67)</f>
        <v>8875</v>
      </c>
      <c r="LVD67" s="132" t="s">
        <v>113</v>
      </c>
      <c r="LVE67" s="133">
        <v>45845</v>
      </c>
      <c r="LVF67" s="128" t="s">
        <v>41</v>
      </c>
      <c r="LVG67" s="207"/>
      <c r="LVH67" s="134" t="s">
        <v>136</v>
      </c>
      <c r="LVI67" s="205"/>
      <c r="LVJ67" s="206"/>
      <c r="LVK67" s="128" t="s">
        <v>24</v>
      </c>
      <c r="LVL67" s="129">
        <v>8150</v>
      </c>
      <c r="LVM67" s="137">
        <v>85</v>
      </c>
      <c r="LVN67" s="138">
        <v>215</v>
      </c>
      <c r="LVO67" s="138">
        <v>75</v>
      </c>
      <c r="LVP67" s="137">
        <v>150</v>
      </c>
      <c r="LVQ67" s="139">
        <f>SUM(LVL67:LVP67)</f>
        <v>8675</v>
      </c>
      <c r="LVR67" s="137">
        <v>200</v>
      </c>
      <c r="LVS67" s="139">
        <f>SUM(LVQ67:LVR67)</f>
        <v>8875</v>
      </c>
      <c r="LVT67" s="132" t="s">
        <v>113</v>
      </c>
      <c r="LVU67" s="133">
        <v>45845</v>
      </c>
      <c r="LVV67" s="128" t="s">
        <v>41</v>
      </c>
      <c r="LVW67" s="207"/>
      <c r="LVX67" s="134" t="s">
        <v>136</v>
      </c>
      <c r="LVY67" s="205"/>
      <c r="LVZ67" s="206"/>
      <c r="LWA67" s="128" t="s">
        <v>24</v>
      </c>
      <c r="LWB67" s="129">
        <v>8150</v>
      </c>
      <c r="LWC67" s="137">
        <v>85</v>
      </c>
      <c r="LWD67" s="138">
        <v>215</v>
      </c>
      <c r="LWE67" s="138">
        <v>75</v>
      </c>
      <c r="LWF67" s="137">
        <v>150</v>
      </c>
      <c r="LWG67" s="139">
        <f>SUM(LWB67:LWF67)</f>
        <v>8675</v>
      </c>
      <c r="LWH67" s="137">
        <v>200</v>
      </c>
      <c r="LWI67" s="139">
        <f>SUM(LWG67:LWH67)</f>
        <v>8875</v>
      </c>
      <c r="LWJ67" s="132" t="s">
        <v>113</v>
      </c>
      <c r="LWK67" s="133">
        <v>45845</v>
      </c>
      <c r="LWL67" s="128" t="s">
        <v>41</v>
      </c>
      <c r="LWM67" s="207"/>
      <c r="LWN67" s="134" t="s">
        <v>136</v>
      </c>
      <c r="LWO67" s="205"/>
      <c r="LWP67" s="206"/>
      <c r="LWQ67" s="128" t="s">
        <v>24</v>
      </c>
      <c r="LWR67" s="129">
        <v>8150</v>
      </c>
      <c r="LWS67" s="137">
        <v>85</v>
      </c>
      <c r="LWT67" s="138">
        <v>215</v>
      </c>
      <c r="LWU67" s="138">
        <v>75</v>
      </c>
      <c r="LWV67" s="137">
        <v>150</v>
      </c>
      <c r="LWW67" s="139">
        <f>SUM(LWR67:LWV67)</f>
        <v>8675</v>
      </c>
      <c r="LWX67" s="137">
        <v>200</v>
      </c>
      <c r="LWY67" s="139">
        <f>SUM(LWW67:LWX67)</f>
        <v>8875</v>
      </c>
      <c r="LWZ67" s="132" t="s">
        <v>113</v>
      </c>
      <c r="LXA67" s="133">
        <v>45845</v>
      </c>
      <c r="LXB67" s="128" t="s">
        <v>41</v>
      </c>
      <c r="LXC67" s="207"/>
      <c r="LXD67" s="134" t="s">
        <v>136</v>
      </c>
      <c r="LXE67" s="205"/>
      <c r="LXF67" s="206"/>
      <c r="LXG67" s="128" t="s">
        <v>24</v>
      </c>
      <c r="LXH67" s="129">
        <v>8150</v>
      </c>
      <c r="LXI67" s="137">
        <v>85</v>
      </c>
      <c r="LXJ67" s="138">
        <v>215</v>
      </c>
      <c r="LXK67" s="138">
        <v>75</v>
      </c>
      <c r="LXL67" s="137">
        <v>150</v>
      </c>
      <c r="LXM67" s="139">
        <f>SUM(LXH67:LXL67)</f>
        <v>8675</v>
      </c>
      <c r="LXN67" s="137">
        <v>200</v>
      </c>
      <c r="LXO67" s="139">
        <f>SUM(LXM67:LXN67)</f>
        <v>8875</v>
      </c>
      <c r="LXP67" s="132" t="s">
        <v>113</v>
      </c>
      <c r="LXQ67" s="133">
        <v>45845</v>
      </c>
      <c r="LXR67" s="128" t="s">
        <v>41</v>
      </c>
      <c r="LXS67" s="207"/>
      <c r="LXT67" s="134" t="s">
        <v>136</v>
      </c>
      <c r="LXU67" s="205"/>
      <c r="LXV67" s="206"/>
      <c r="LXW67" s="128" t="s">
        <v>24</v>
      </c>
      <c r="LXX67" s="129">
        <v>8150</v>
      </c>
      <c r="LXY67" s="137">
        <v>85</v>
      </c>
      <c r="LXZ67" s="138">
        <v>215</v>
      </c>
      <c r="LYA67" s="138">
        <v>75</v>
      </c>
      <c r="LYB67" s="137">
        <v>150</v>
      </c>
      <c r="LYC67" s="139">
        <f>SUM(LXX67:LYB67)</f>
        <v>8675</v>
      </c>
      <c r="LYD67" s="137">
        <v>200</v>
      </c>
      <c r="LYE67" s="139">
        <f>SUM(LYC67:LYD67)</f>
        <v>8875</v>
      </c>
      <c r="LYF67" s="132" t="s">
        <v>113</v>
      </c>
      <c r="LYG67" s="133">
        <v>45845</v>
      </c>
      <c r="LYH67" s="128" t="s">
        <v>41</v>
      </c>
      <c r="LYI67" s="207"/>
      <c r="LYJ67" s="134" t="s">
        <v>136</v>
      </c>
      <c r="LYK67" s="205"/>
      <c r="LYL67" s="206"/>
      <c r="LYM67" s="128" t="s">
        <v>24</v>
      </c>
      <c r="LYN67" s="129">
        <v>8150</v>
      </c>
      <c r="LYO67" s="137">
        <v>85</v>
      </c>
      <c r="LYP67" s="138">
        <v>215</v>
      </c>
      <c r="LYQ67" s="138">
        <v>75</v>
      </c>
      <c r="LYR67" s="137">
        <v>150</v>
      </c>
      <c r="LYS67" s="139">
        <f>SUM(LYN67:LYR67)</f>
        <v>8675</v>
      </c>
      <c r="LYT67" s="137">
        <v>200</v>
      </c>
      <c r="LYU67" s="139">
        <f>SUM(LYS67:LYT67)</f>
        <v>8875</v>
      </c>
      <c r="LYV67" s="132" t="s">
        <v>113</v>
      </c>
      <c r="LYW67" s="133">
        <v>45845</v>
      </c>
      <c r="LYX67" s="128" t="s">
        <v>41</v>
      </c>
      <c r="LYY67" s="207"/>
      <c r="LYZ67" s="134" t="s">
        <v>136</v>
      </c>
      <c r="LZA67" s="205"/>
      <c r="LZB67" s="206"/>
      <c r="LZC67" s="128" t="s">
        <v>24</v>
      </c>
      <c r="LZD67" s="129">
        <v>8150</v>
      </c>
      <c r="LZE67" s="137">
        <v>85</v>
      </c>
      <c r="LZF67" s="138">
        <v>215</v>
      </c>
      <c r="LZG67" s="138">
        <v>75</v>
      </c>
      <c r="LZH67" s="137">
        <v>150</v>
      </c>
      <c r="LZI67" s="139">
        <f>SUM(LZD67:LZH67)</f>
        <v>8675</v>
      </c>
      <c r="LZJ67" s="137">
        <v>200</v>
      </c>
      <c r="LZK67" s="139">
        <f>SUM(LZI67:LZJ67)</f>
        <v>8875</v>
      </c>
      <c r="LZL67" s="132" t="s">
        <v>113</v>
      </c>
      <c r="LZM67" s="133">
        <v>45845</v>
      </c>
      <c r="LZN67" s="128" t="s">
        <v>41</v>
      </c>
      <c r="LZO67" s="207"/>
      <c r="LZP67" s="134" t="s">
        <v>136</v>
      </c>
      <c r="LZQ67" s="205"/>
      <c r="LZR67" s="206"/>
      <c r="LZS67" s="128" t="s">
        <v>24</v>
      </c>
      <c r="LZT67" s="129">
        <v>8150</v>
      </c>
      <c r="LZU67" s="137">
        <v>85</v>
      </c>
      <c r="LZV67" s="138">
        <v>215</v>
      </c>
      <c r="LZW67" s="138">
        <v>75</v>
      </c>
      <c r="LZX67" s="137">
        <v>150</v>
      </c>
      <c r="LZY67" s="139">
        <f>SUM(LZT67:LZX67)</f>
        <v>8675</v>
      </c>
      <c r="LZZ67" s="137">
        <v>200</v>
      </c>
      <c r="MAA67" s="139">
        <f>SUM(LZY67:LZZ67)</f>
        <v>8875</v>
      </c>
      <c r="MAB67" s="132" t="s">
        <v>113</v>
      </c>
      <c r="MAC67" s="133">
        <v>45845</v>
      </c>
      <c r="MAD67" s="128" t="s">
        <v>41</v>
      </c>
      <c r="MAE67" s="207"/>
      <c r="MAF67" s="134" t="s">
        <v>136</v>
      </c>
      <c r="MAG67" s="205"/>
      <c r="MAH67" s="206"/>
      <c r="MAI67" s="128" t="s">
        <v>24</v>
      </c>
      <c r="MAJ67" s="129">
        <v>8150</v>
      </c>
      <c r="MAK67" s="137">
        <v>85</v>
      </c>
      <c r="MAL67" s="138">
        <v>215</v>
      </c>
      <c r="MAM67" s="138">
        <v>75</v>
      </c>
      <c r="MAN67" s="137">
        <v>150</v>
      </c>
      <c r="MAO67" s="139">
        <f>SUM(MAJ67:MAN67)</f>
        <v>8675</v>
      </c>
      <c r="MAP67" s="137">
        <v>200</v>
      </c>
      <c r="MAQ67" s="139">
        <f>SUM(MAO67:MAP67)</f>
        <v>8875</v>
      </c>
      <c r="MAR67" s="132" t="s">
        <v>113</v>
      </c>
      <c r="MAS67" s="133">
        <v>45845</v>
      </c>
      <c r="MAT67" s="128" t="s">
        <v>41</v>
      </c>
      <c r="MAU67" s="207"/>
      <c r="MAV67" s="134" t="s">
        <v>136</v>
      </c>
      <c r="MAW67" s="205"/>
      <c r="MAX67" s="206"/>
      <c r="MAY67" s="128" t="s">
        <v>24</v>
      </c>
      <c r="MAZ67" s="129">
        <v>8150</v>
      </c>
      <c r="MBA67" s="137">
        <v>85</v>
      </c>
      <c r="MBB67" s="138">
        <v>215</v>
      </c>
      <c r="MBC67" s="138">
        <v>75</v>
      </c>
      <c r="MBD67" s="137">
        <v>150</v>
      </c>
      <c r="MBE67" s="139">
        <f>SUM(MAZ67:MBD67)</f>
        <v>8675</v>
      </c>
      <c r="MBF67" s="137">
        <v>200</v>
      </c>
      <c r="MBG67" s="139">
        <f>SUM(MBE67:MBF67)</f>
        <v>8875</v>
      </c>
      <c r="MBH67" s="132" t="s">
        <v>113</v>
      </c>
      <c r="MBI67" s="133">
        <v>45845</v>
      </c>
      <c r="MBJ67" s="128" t="s">
        <v>41</v>
      </c>
      <c r="MBK67" s="207"/>
      <c r="MBL67" s="134" t="s">
        <v>136</v>
      </c>
      <c r="MBM67" s="205"/>
      <c r="MBN67" s="206"/>
      <c r="MBO67" s="128" t="s">
        <v>24</v>
      </c>
      <c r="MBP67" s="129">
        <v>8150</v>
      </c>
      <c r="MBQ67" s="137">
        <v>85</v>
      </c>
      <c r="MBR67" s="138">
        <v>215</v>
      </c>
      <c r="MBS67" s="138">
        <v>75</v>
      </c>
      <c r="MBT67" s="137">
        <v>150</v>
      </c>
      <c r="MBU67" s="139">
        <f>SUM(MBP67:MBT67)</f>
        <v>8675</v>
      </c>
      <c r="MBV67" s="137">
        <v>200</v>
      </c>
      <c r="MBW67" s="139">
        <f>SUM(MBU67:MBV67)</f>
        <v>8875</v>
      </c>
      <c r="MBX67" s="132" t="s">
        <v>113</v>
      </c>
      <c r="MBY67" s="133">
        <v>45845</v>
      </c>
      <c r="MBZ67" s="128" t="s">
        <v>41</v>
      </c>
      <c r="MCA67" s="207"/>
      <c r="MCB67" s="134" t="s">
        <v>136</v>
      </c>
      <c r="MCC67" s="205"/>
      <c r="MCD67" s="206"/>
      <c r="MCE67" s="128" t="s">
        <v>24</v>
      </c>
      <c r="MCF67" s="129">
        <v>8150</v>
      </c>
      <c r="MCG67" s="137">
        <v>85</v>
      </c>
      <c r="MCH67" s="138">
        <v>215</v>
      </c>
      <c r="MCI67" s="138">
        <v>75</v>
      </c>
      <c r="MCJ67" s="137">
        <v>150</v>
      </c>
      <c r="MCK67" s="139">
        <f>SUM(MCF67:MCJ67)</f>
        <v>8675</v>
      </c>
      <c r="MCL67" s="137">
        <v>200</v>
      </c>
      <c r="MCM67" s="139">
        <f>SUM(MCK67:MCL67)</f>
        <v>8875</v>
      </c>
      <c r="MCN67" s="132" t="s">
        <v>113</v>
      </c>
      <c r="MCO67" s="133">
        <v>45845</v>
      </c>
      <c r="MCP67" s="128" t="s">
        <v>41</v>
      </c>
      <c r="MCQ67" s="207"/>
      <c r="MCR67" s="134" t="s">
        <v>136</v>
      </c>
      <c r="MCS67" s="205"/>
      <c r="MCT67" s="206"/>
      <c r="MCU67" s="128" t="s">
        <v>24</v>
      </c>
      <c r="MCV67" s="129">
        <v>8150</v>
      </c>
      <c r="MCW67" s="137">
        <v>85</v>
      </c>
      <c r="MCX67" s="138">
        <v>215</v>
      </c>
      <c r="MCY67" s="138">
        <v>75</v>
      </c>
      <c r="MCZ67" s="137">
        <v>150</v>
      </c>
      <c r="MDA67" s="139">
        <f>SUM(MCV67:MCZ67)</f>
        <v>8675</v>
      </c>
      <c r="MDB67" s="137">
        <v>200</v>
      </c>
      <c r="MDC67" s="139">
        <f>SUM(MDA67:MDB67)</f>
        <v>8875</v>
      </c>
      <c r="MDD67" s="132" t="s">
        <v>113</v>
      </c>
      <c r="MDE67" s="133">
        <v>45845</v>
      </c>
      <c r="MDF67" s="128" t="s">
        <v>41</v>
      </c>
      <c r="MDG67" s="207"/>
      <c r="MDH67" s="134" t="s">
        <v>136</v>
      </c>
      <c r="MDI67" s="205"/>
      <c r="MDJ67" s="206"/>
      <c r="MDK67" s="128" t="s">
        <v>24</v>
      </c>
      <c r="MDL67" s="129">
        <v>8150</v>
      </c>
      <c r="MDM67" s="137">
        <v>85</v>
      </c>
      <c r="MDN67" s="138">
        <v>215</v>
      </c>
      <c r="MDO67" s="138">
        <v>75</v>
      </c>
      <c r="MDP67" s="137">
        <v>150</v>
      </c>
      <c r="MDQ67" s="139">
        <f>SUM(MDL67:MDP67)</f>
        <v>8675</v>
      </c>
      <c r="MDR67" s="137">
        <v>200</v>
      </c>
      <c r="MDS67" s="139">
        <f>SUM(MDQ67:MDR67)</f>
        <v>8875</v>
      </c>
      <c r="MDT67" s="132" t="s">
        <v>113</v>
      </c>
      <c r="MDU67" s="133">
        <v>45845</v>
      </c>
      <c r="MDV67" s="128" t="s">
        <v>41</v>
      </c>
      <c r="MDW67" s="207"/>
      <c r="MDX67" s="134" t="s">
        <v>136</v>
      </c>
      <c r="MDY67" s="205"/>
      <c r="MDZ67" s="206"/>
      <c r="MEA67" s="128" t="s">
        <v>24</v>
      </c>
      <c r="MEB67" s="129">
        <v>8150</v>
      </c>
      <c r="MEC67" s="137">
        <v>85</v>
      </c>
      <c r="MED67" s="138">
        <v>215</v>
      </c>
      <c r="MEE67" s="138">
        <v>75</v>
      </c>
      <c r="MEF67" s="137">
        <v>150</v>
      </c>
      <c r="MEG67" s="139">
        <f>SUM(MEB67:MEF67)</f>
        <v>8675</v>
      </c>
      <c r="MEH67" s="137">
        <v>200</v>
      </c>
      <c r="MEI67" s="139">
        <f>SUM(MEG67:MEH67)</f>
        <v>8875</v>
      </c>
      <c r="MEJ67" s="132" t="s">
        <v>113</v>
      </c>
      <c r="MEK67" s="133">
        <v>45845</v>
      </c>
      <c r="MEL67" s="128" t="s">
        <v>41</v>
      </c>
      <c r="MEM67" s="207"/>
      <c r="MEN67" s="134" t="s">
        <v>136</v>
      </c>
      <c r="MEO67" s="205"/>
      <c r="MEP67" s="206"/>
      <c r="MEQ67" s="128" t="s">
        <v>24</v>
      </c>
      <c r="MER67" s="129">
        <v>8150</v>
      </c>
      <c r="MES67" s="137">
        <v>85</v>
      </c>
      <c r="MET67" s="138">
        <v>215</v>
      </c>
      <c r="MEU67" s="138">
        <v>75</v>
      </c>
      <c r="MEV67" s="137">
        <v>150</v>
      </c>
      <c r="MEW67" s="139">
        <f>SUM(MER67:MEV67)</f>
        <v>8675</v>
      </c>
      <c r="MEX67" s="137">
        <v>200</v>
      </c>
      <c r="MEY67" s="139">
        <f>SUM(MEW67:MEX67)</f>
        <v>8875</v>
      </c>
      <c r="MEZ67" s="132" t="s">
        <v>113</v>
      </c>
      <c r="MFA67" s="133">
        <v>45845</v>
      </c>
      <c r="MFB67" s="128" t="s">
        <v>41</v>
      </c>
      <c r="MFC67" s="207"/>
      <c r="MFD67" s="134" t="s">
        <v>136</v>
      </c>
      <c r="MFE67" s="205"/>
      <c r="MFF67" s="206"/>
      <c r="MFG67" s="128" t="s">
        <v>24</v>
      </c>
      <c r="MFH67" s="129">
        <v>8150</v>
      </c>
      <c r="MFI67" s="137">
        <v>85</v>
      </c>
      <c r="MFJ67" s="138">
        <v>215</v>
      </c>
      <c r="MFK67" s="138">
        <v>75</v>
      </c>
      <c r="MFL67" s="137">
        <v>150</v>
      </c>
      <c r="MFM67" s="139">
        <f>SUM(MFH67:MFL67)</f>
        <v>8675</v>
      </c>
      <c r="MFN67" s="137">
        <v>200</v>
      </c>
      <c r="MFO67" s="139">
        <f>SUM(MFM67:MFN67)</f>
        <v>8875</v>
      </c>
      <c r="MFP67" s="132" t="s">
        <v>113</v>
      </c>
      <c r="MFQ67" s="133">
        <v>45845</v>
      </c>
      <c r="MFR67" s="128" t="s">
        <v>41</v>
      </c>
      <c r="MFS67" s="207"/>
      <c r="MFT67" s="134" t="s">
        <v>136</v>
      </c>
      <c r="MFU67" s="205"/>
      <c r="MFV67" s="206"/>
      <c r="MFW67" s="128" t="s">
        <v>24</v>
      </c>
      <c r="MFX67" s="129">
        <v>8150</v>
      </c>
      <c r="MFY67" s="137">
        <v>85</v>
      </c>
      <c r="MFZ67" s="138">
        <v>215</v>
      </c>
      <c r="MGA67" s="138">
        <v>75</v>
      </c>
      <c r="MGB67" s="137">
        <v>150</v>
      </c>
      <c r="MGC67" s="139">
        <f>SUM(MFX67:MGB67)</f>
        <v>8675</v>
      </c>
      <c r="MGD67" s="137">
        <v>200</v>
      </c>
      <c r="MGE67" s="139">
        <f>SUM(MGC67:MGD67)</f>
        <v>8875</v>
      </c>
      <c r="MGF67" s="132" t="s">
        <v>113</v>
      </c>
      <c r="MGG67" s="133">
        <v>45845</v>
      </c>
      <c r="MGH67" s="128" t="s">
        <v>41</v>
      </c>
      <c r="MGI67" s="207"/>
      <c r="MGJ67" s="134" t="s">
        <v>136</v>
      </c>
      <c r="MGK67" s="205"/>
      <c r="MGL67" s="206"/>
      <c r="MGM67" s="128" t="s">
        <v>24</v>
      </c>
      <c r="MGN67" s="129">
        <v>8150</v>
      </c>
      <c r="MGO67" s="137">
        <v>85</v>
      </c>
      <c r="MGP67" s="138">
        <v>215</v>
      </c>
      <c r="MGQ67" s="138">
        <v>75</v>
      </c>
      <c r="MGR67" s="137">
        <v>150</v>
      </c>
      <c r="MGS67" s="139">
        <f>SUM(MGN67:MGR67)</f>
        <v>8675</v>
      </c>
      <c r="MGT67" s="137">
        <v>200</v>
      </c>
      <c r="MGU67" s="139">
        <f>SUM(MGS67:MGT67)</f>
        <v>8875</v>
      </c>
      <c r="MGV67" s="132" t="s">
        <v>113</v>
      </c>
      <c r="MGW67" s="133">
        <v>45845</v>
      </c>
      <c r="MGX67" s="128" t="s">
        <v>41</v>
      </c>
      <c r="MGY67" s="207"/>
      <c r="MGZ67" s="134" t="s">
        <v>136</v>
      </c>
      <c r="MHA67" s="205"/>
      <c r="MHB67" s="206"/>
      <c r="MHC67" s="128" t="s">
        <v>24</v>
      </c>
      <c r="MHD67" s="129">
        <v>8150</v>
      </c>
      <c r="MHE67" s="137">
        <v>85</v>
      </c>
      <c r="MHF67" s="138">
        <v>215</v>
      </c>
      <c r="MHG67" s="138">
        <v>75</v>
      </c>
      <c r="MHH67" s="137">
        <v>150</v>
      </c>
      <c r="MHI67" s="139">
        <f>SUM(MHD67:MHH67)</f>
        <v>8675</v>
      </c>
      <c r="MHJ67" s="137">
        <v>200</v>
      </c>
      <c r="MHK67" s="139">
        <f>SUM(MHI67:MHJ67)</f>
        <v>8875</v>
      </c>
      <c r="MHL67" s="132" t="s">
        <v>113</v>
      </c>
      <c r="MHM67" s="133">
        <v>45845</v>
      </c>
      <c r="MHN67" s="128" t="s">
        <v>41</v>
      </c>
      <c r="MHO67" s="207"/>
      <c r="MHP67" s="134" t="s">
        <v>136</v>
      </c>
      <c r="MHQ67" s="205"/>
      <c r="MHR67" s="206"/>
      <c r="MHS67" s="128" t="s">
        <v>24</v>
      </c>
      <c r="MHT67" s="129">
        <v>8150</v>
      </c>
      <c r="MHU67" s="137">
        <v>85</v>
      </c>
      <c r="MHV67" s="138">
        <v>215</v>
      </c>
      <c r="MHW67" s="138">
        <v>75</v>
      </c>
      <c r="MHX67" s="137">
        <v>150</v>
      </c>
      <c r="MHY67" s="139">
        <f>SUM(MHT67:MHX67)</f>
        <v>8675</v>
      </c>
      <c r="MHZ67" s="137">
        <v>200</v>
      </c>
      <c r="MIA67" s="139">
        <f>SUM(MHY67:MHZ67)</f>
        <v>8875</v>
      </c>
      <c r="MIB67" s="132" t="s">
        <v>113</v>
      </c>
      <c r="MIC67" s="133">
        <v>45845</v>
      </c>
      <c r="MID67" s="128" t="s">
        <v>41</v>
      </c>
      <c r="MIE67" s="207"/>
      <c r="MIF67" s="134" t="s">
        <v>136</v>
      </c>
      <c r="MIG67" s="205"/>
      <c r="MIH67" s="206"/>
      <c r="MII67" s="128" t="s">
        <v>24</v>
      </c>
      <c r="MIJ67" s="129">
        <v>8150</v>
      </c>
      <c r="MIK67" s="137">
        <v>85</v>
      </c>
      <c r="MIL67" s="138">
        <v>215</v>
      </c>
      <c r="MIM67" s="138">
        <v>75</v>
      </c>
      <c r="MIN67" s="137">
        <v>150</v>
      </c>
      <c r="MIO67" s="139">
        <f>SUM(MIJ67:MIN67)</f>
        <v>8675</v>
      </c>
      <c r="MIP67" s="137">
        <v>200</v>
      </c>
      <c r="MIQ67" s="139">
        <f>SUM(MIO67:MIP67)</f>
        <v>8875</v>
      </c>
      <c r="MIR67" s="132" t="s">
        <v>113</v>
      </c>
      <c r="MIS67" s="133">
        <v>45845</v>
      </c>
      <c r="MIT67" s="128" t="s">
        <v>41</v>
      </c>
      <c r="MIU67" s="207"/>
      <c r="MIV67" s="134" t="s">
        <v>136</v>
      </c>
      <c r="MIW67" s="205"/>
      <c r="MIX67" s="206"/>
      <c r="MIY67" s="128" t="s">
        <v>24</v>
      </c>
      <c r="MIZ67" s="129">
        <v>8150</v>
      </c>
      <c r="MJA67" s="137">
        <v>85</v>
      </c>
      <c r="MJB67" s="138">
        <v>215</v>
      </c>
      <c r="MJC67" s="138">
        <v>75</v>
      </c>
      <c r="MJD67" s="137">
        <v>150</v>
      </c>
      <c r="MJE67" s="139">
        <f>SUM(MIZ67:MJD67)</f>
        <v>8675</v>
      </c>
      <c r="MJF67" s="137">
        <v>200</v>
      </c>
      <c r="MJG67" s="139">
        <f>SUM(MJE67:MJF67)</f>
        <v>8875</v>
      </c>
      <c r="MJH67" s="132" t="s">
        <v>113</v>
      </c>
      <c r="MJI67" s="133">
        <v>45845</v>
      </c>
      <c r="MJJ67" s="128" t="s">
        <v>41</v>
      </c>
      <c r="MJK67" s="207"/>
      <c r="MJL67" s="134" t="s">
        <v>136</v>
      </c>
      <c r="MJM67" s="205"/>
      <c r="MJN67" s="206"/>
      <c r="MJO67" s="128" t="s">
        <v>24</v>
      </c>
      <c r="MJP67" s="129">
        <v>8150</v>
      </c>
      <c r="MJQ67" s="137">
        <v>85</v>
      </c>
      <c r="MJR67" s="138">
        <v>215</v>
      </c>
      <c r="MJS67" s="138">
        <v>75</v>
      </c>
      <c r="MJT67" s="137">
        <v>150</v>
      </c>
      <c r="MJU67" s="139">
        <f>SUM(MJP67:MJT67)</f>
        <v>8675</v>
      </c>
      <c r="MJV67" s="137">
        <v>200</v>
      </c>
      <c r="MJW67" s="139">
        <f>SUM(MJU67:MJV67)</f>
        <v>8875</v>
      </c>
      <c r="MJX67" s="132" t="s">
        <v>113</v>
      </c>
      <c r="MJY67" s="133">
        <v>45845</v>
      </c>
      <c r="MJZ67" s="128" t="s">
        <v>41</v>
      </c>
      <c r="MKA67" s="207"/>
      <c r="MKB67" s="134" t="s">
        <v>136</v>
      </c>
      <c r="MKC67" s="205"/>
      <c r="MKD67" s="206"/>
      <c r="MKE67" s="128" t="s">
        <v>24</v>
      </c>
      <c r="MKF67" s="129">
        <v>8150</v>
      </c>
      <c r="MKG67" s="137">
        <v>85</v>
      </c>
      <c r="MKH67" s="138">
        <v>215</v>
      </c>
      <c r="MKI67" s="138">
        <v>75</v>
      </c>
      <c r="MKJ67" s="137">
        <v>150</v>
      </c>
      <c r="MKK67" s="139">
        <f>SUM(MKF67:MKJ67)</f>
        <v>8675</v>
      </c>
      <c r="MKL67" s="137">
        <v>200</v>
      </c>
      <c r="MKM67" s="139">
        <f>SUM(MKK67:MKL67)</f>
        <v>8875</v>
      </c>
      <c r="MKN67" s="132" t="s">
        <v>113</v>
      </c>
      <c r="MKO67" s="133">
        <v>45845</v>
      </c>
      <c r="MKP67" s="128" t="s">
        <v>41</v>
      </c>
      <c r="MKQ67" s="207"/>
      <c r="MKR67" s="134" t="s">
        <v>136</v>
      </c>
      <c r="MKS67" s="205"/>
      <c r="MKT67" s="206"/>
      <c r="MKU67" s="128" t="s">
        <v>24</v>
      </c>
      <c r="MKV67" s="129">
        <v>8150</v>
      </c>
      <c r="MKW67" s="137">
        <v>85</v>
      </c>
      <c r="MKX67" s="138">
        <v>215</v>
      </c>
      <c r="MKY67" s="138">
        <v>75</v>
      </c>
      <c r="MKZ67" s="137">
        <v>150</v>
      </c>
      <c r="MLA67" s="139">
        <f>SUM(MKV67:MKZ67)</f>
        <v>8675</v>
      </c>
      <c r="MLB67" s="137">
        <v>200</v>
      </c>
      <c r="MLC67" s="139">
        <f>SUM(MLA67:MLB67)</f>
        <v>8875</v>
      </c>
      <c r="MLD67" s="132" t="s">
        <v>113</v>
      </c>
      <c r="MLE67" s="133">
        <v>45845</v>
      </c>
      <c r="MLF67" s="128" t="s">
        <v>41</v>
      </c>
      <c r="MLG67" s="207"/>
      <c r="MLH67" s="134" t="s">
        <v>136</v>
      </c>
      <c r="MLI67" s="205"/>
      <c r="MLJ67" s="206"/>
      <c r="MLK67" s="128" t="s">
        <v>24</v>
      </c>
      <c r="MLL67" s="129">
        <v>8150</v>
      </c>
      <c r="MLM67" s="137">
        <v>85</v>
      </c>
      <c r="MLN67" s="138">
        <v>215</v>
      </c>
      <c r="MLO67" s="138">
        <v>75</v>
      </c>
      <c r="MLP67" s="137">
        <v>150</v>
      </c>
      <c r="MLQ67" s="139">
        <f>SUM(MLL67:MLP67)</f>
        <v>8675</v>
      </c>
      <c r="MLR67" s="137">
        <v>200</v>
      </c>
      <c r="MLS67" s="139">
        <f>SUM(MLQ67:MLR67)</f>
        <v>8875</v>
      </c>
      <c r="MLT67" s="132" t="s">
        <v>113</v>
      </c>
      <c r="MLU67" s="133">
        <v>45845</v>
      </c>
      <c r="MLV67" s="128" t="s">
        <v>41</v>
      </c>
      <c r="MLW67" s="207"/>
      <c r="MLX67" s="134" t="s">
        <v>136</v>
      </c>
      <c r="MLY67" s="205"/>
      <c r="MLZ67" s="206"/>
      <c r="MMA67" s="128" t="s">
        <v>24</v>
      </c>
      <c r="MMB67" s="129">
        <v>8150</v>
      </c>
      <c r="MMC67" s="137">
        <v>85</v>
      </c>
      <c r="MMD67" s="138">
        <v>215</v>
      </c>
      <c r="MME67" s="138">
        <v>75</v>
      </c>
      <c r="MMF67" s="137">
        <v>150</v>
      </c>
      <c r="MMG67" s="139">
        <f>SUM(MMB67:MMF67)</f>
        <v>8675</v>
      </c>
      <c r="MMH67" s="137">
        <v>200</v>
      </c>
      <c r="MMI67" s="139">
        <f>SUM(MMG67:MMH67)</f>
        <v>8875</v>
      </c>
      <c r="MMJ67" s="132" t="s">
        <v>113</v>
      </c>
      <c r="MMK67" s="133">
        <v>45845</v>
      </c>
      <c r="MML67" s="128" t="s">
        <v>41</v>
      </c>
      <c r="MMM67" s="207"/>
      <c r="MMN67" s="134" t="s">
        <v>136</v>
      </c>
      <c r="MMO67" s="205"/>
      <c r="MMP67" s="206"/>
      <c r="MMQ67" s="128" t="s">
        <v>24</v>
      </c>
      <c r="MMR67" s="129">
        <v>8150</v>
      </c>
      <c r="MMS67" s="137">
        <v>85</v>
      </c>
      <c r="MMT67" s="138">
        <v>215</v>
      </c>
      <c r="MMU67" s="138">
        <v>75</v>
      </c>
      <c r="MMV67" s="137">
        <v>150</v>
      </c>
      <c r="MMW67" s="139">
        <f>SUM(MMR67:MMV67)</f>
        <v>8675</v>
      </c>
      <c r="MMX67" s="137">
        <v>200</v>
      </c>
      <c r="MMY67" s="139">
        <f>SUM(MMW67:MMX67)</f>
        <v>8875</v>
      </c>
      <c r="MMZ67" s="132" t="s">
        <v>113</v>
      </c>
      <c r="MNA67" s="133">
        <v>45845</v>
      </c>
      <c r="MNB67" s="128" t="s">
        <v>41</v>
      </c>
      <c r="MNC67" s="207"/>
      <c r="MND67" s="134" t="s">
        <v>136</v>
      </c>
      <c r="MNE67" s="205"/>
      <c r="MNF67" s="206"/>
      <c r="MNG67" s="128" t="s">
        <v>24</v>
      </c>
      <c r="MNH67" s="129">
        <v>8150</v>
      </c>
      <c r="MNI67" s="137">
        <v>85</v>
      </c>
      <c r="MNJ67" s="138">
        <v>215</v>
      </c>
      <c r="MNK67" s="138">
        <v>75</v>
      </c>
      <c r="MNL67" s="137">
        <v>150</v>
      </c>
      <c r="MNM67" s="139">
        <f>SUM(MNH67:MNL67)</f>
        <v>8675</v>
      </c>
      <c r="MNN67" s="137">
        <v>200</v>
      </c>
      <c r="MNO67" s="139">
        <f>SUM(MNM67:MNN67)</f>
        <v>8875</v>
      </c>
      <c r="MNP67" s="132" t="s">
        <v>113</v>
      </c>
      <c r="MNQ67" s="133">
        <v>45845</v>
      </c>
      <c r="MNR67" s="128" t="s">
        <v>41</v>
      </c>
      <c r="MNS67" s="207"/>
      <c r="MNT67" s="134" t="s">
        <v>136</v>
      </c>
      <c r="MNU67" s="205"/>
      <c r="MNV67" s="206"/>
      <c r="MNW67" s="128" t="s">
        <v>24</v>
      </c>
      <c r="MNX67" s="129">
        <v>8150</v>
      </c>
      <c r="MNY67" s="137">
        <v>85</v>
      </c>
      <c r="MNZ67" s="138">
        <v>215</v>
      </c>
      <c r="MOA67" s="138">
        <v>75</v>
      </c>
      <c r="MOB67" s="137">
        <v>150</v>
      </c>
      <c r="MOC67" s="139">
        <f>SUM(MNX67:MOB67)</f>
        <v>8675</v>
      </c>
      <c r="MOD67" s="137">
        <v>200</v>
      </c>
      <c r="MOE67" s="139">
        <f>SUM(MOC67:MOD67)</f>
        <v>8875</v>
      </c>
      <c r="MOF67" s="132" t="s">
        <v>113</v>
      </c>
      <c r="MOG67" s="133">
        <v>45845</v>
      </c>
      <c r="MOH67" s="128" t="s">
        <v>41</v>
      </c>
      <c r="MOI67" s="207"/>
      <c r="MOJ67" s="134" t="s">
        <v>136</v>
      </c>
      <c r="MOK67" s="205"/>
      <c r="MOL67" s="206"/>
      <c r="MOM67" s="128" t="s">
        <v>24</v>
      </c>
      <c r="MON67" s="129">
        <v>8150</v>
      </c>
      <c r="MOO67" s="137">
        <v>85</v>
      </c>
      <c r="MOP67" s="138">
        <v>215</v>
      </c>
      <c r="MOQ67" s="138">
        <v>75</v>
      </c>
      <c r="MOR67" s="137">
        <v>150</v>
      </c>
      <c r="MOS67" s="139">
        <f>SUM(MON67:MOR67)</f>
        <v>8675</v>
      </c>
      <c r="MOT67" s="137">
        <v>200</v>
      </c>
      <c r="MOU67" s="139">
        <f>SUM(MOS67:MOT67)</f>
        <v>8875</v>
      </c>
      <c r="MOV67" s="132" t="s">
        <v>113</v>
      </c>
      <c r="MOW67" s="133">
        <v>45845</v>
      </c>
      <c r="MOX67" s="128" t="s">
        <v>41</v>
      </c>
      <c r="MOY67" s="207"/>
      <c r="MOZ67" s="134" t="s">
        <v>136</v>
      </c>
      <c r="MPA67" s="205"/>
      <c r="MPB67" s="206"/>
      <c r="MPC67" s="128" t="s">
        <v>24</v>
      </c>
      <c r="MPD67" s="129">
        <v>8150</v>
      </c>
      <c r="MPE67" s="137">
        <v>85</v>
      </c>
      <c r="MPF67" s="138">
        <v>215</v>
      </c>
      <c r="MPG67" s="138">
        <v>75</v>
      </c>
      <c r="MPH67" s="137">
        <v>150</v>
      </c>
      <c r="MPI67" s="139">
        <f>SUM(MPD67:MPH67)</f>
        <v>8675</v>
      </c>
      <c r="MPJ67" s="137">
        <v>200</v>
      </c>
      <c r="MPK67" s="139">
        <f>SUM(MPI67:MPJ67)</f>
        <v>8875</v>
      </c>
      <c r="MPL67" s="132" t="s">
        <v>113</v>
      </c>
      <c r="MPM67" s="133">
        <v>45845</v>
      </c>
      <c r="MPN67" s="128" t="s">
        <v>41</v>
      </c>
      <c r="MPO67" s="207"/>
      <c r="MPP67" s="134" t="s">
        <v>136</v>
      </c>
      <c r="MPQ67" s="205"/>
      <c r="MPR67" s="206"/>
      <c r="MPS67" s="128" t="s">
        <v>24</v>
      </c>
      <c r="MPT67" s="129">
        <v>8150</v>
      </c>
      <c r="MPU67" s="137">
        <v>85</v>
      </c>
      <c r="MPV67" s="138">
        <v>215</v>
      </c>
      <c r="MPW67" s="138">
        <v>75</v>
      </c>
      <c r="MPX67" s="137">
        <v>150</v>
      </c>
      <c r="MPY67" s="139">
        <f>SUM(MPT67:MPX67)</f>
        <v>8675</v>
      </c>
      <c r="MPZ67" s="137">
        <v>200</v>
      </c>
      <c r="MQA67" s="139">
        <f>SUM(MPY67:MPZ67)</f>
        <v>8875</v>
      </c>
      <c r="MQB67" s="132" t="s">
        <v>113</v>
      </c>
      <c r="MQC67" s="133">
        <v>45845</v>
      </c>
      <c r="MQD67" s="128" t="s">
        <v>41</v>
      </c>
      <c r="MQE67" s="207"/>
      <c r="MQF67" s="134" t="s">
        <v>136</v>
      </c>
      <c r="MQG67" s="205"/>
      <c r="MQH67" s="206"/>
      <c r="MQI67" s="128" t="s">
        <v>24</v>
      </c>
      <c r="MQJ67" s="129">
        <v>8150</v>
      </c>
      <c r="MQK67" s="137">
        <v>85</v>
      </c>
      <c r="MQL67" s="138">
        <v>215</v>
      </c>
      <c r="MQM67" s="138">
        <v>75</v>
      </c>
      <c r="MQN67" s="137">
        <v>150</v>
      </c>
      <c r="MQO67" s="139">
        <f>SUM(MQJ67:MQN67)</f>
        <v>8675</v>
      </c>
      <c r="MQP67" s="137">
        <v>200</v>
      </c>
      <c r="MQQ67" s="139">
        <f>SUM(MQO67:MQP67)</f>
        <v>8875</v>
      </c>
      <c r="MQR67" s="132" t="s">
        <v>113</v>
      </c>
      <c r="MQS67" s="133">
        <v>45845</v>
      </c>
      <c r="MQT67" s="128" t="s">
        <v>41</v>
      </c>
      <c r="MQU67" s="207"/>
      <c r="MQV67" s="134" t="s">
        <v>136</v>
      </c>
      <c r="MQW67" s="205"/>
      <c r="MQX67" s="206"/>
      <c r="MQY67" s="128" t="s">
        <v>24</v>
      </c>
      <c r="MQZ67" s="129">
        <v>8150</v>
      </c>
      <c r="MRA67" s="137">
        <v>85</v>
      </c>
      <c r="MRB67" s="138">
        <v>215</v>
      </c>
      <c r="MRC67" s="138">
        <v>75</v>
      </c>
      <c r="MRD67" s="137">
        <v>150</v>
      </c>
      <c r="MRE67" s="139">
        <f>SUM(MQZ67:MRD67)</f>
        <v>8675</v>
      </c>
      <c r="MRF67" s="137">
        <v>200</v>
      </c>
      <c r="MRG67" s="139">
        <f>SUM(MRE67:MRF67)</f>
        <v>8875</v>
      </c>
      <c r="MRH67" s="132" t="s">
        <v>113</v>
      </c>
      <c r="MRI67" s="133">
        <v>45845</v>
      </c>
      <c r="MRJ67" s="128" t="s">
        <v>41</v>
      </c>
      <c r="MRK67" s="207"/>
      <c r="MRL67" s="134" t="s">
        <v>136</v>
      </c>
      <c r="MRM67" s="205"/>
      <c r="MRN67" s="206"/>
      <c r="MRO67" s="128" t="s">
        <v>24</v>
      </c>
      <c r="MRP67" s="129">
        <v>8150</v>
      </c>
      <c r="MRQ67" s="137">
        <v>85</v>
      </c>
      <c r="MRR67" s="138">
        <v>215</v>
      </c>
      <c r="MRS67" s="138">
        <v>75</v>
      </c>
      <c r="MRT67" s="137">
        <v>150</v>
      </c>
      <c r="MRU67" s="139">
        <f>SUM(MRP67:MRT67)</f>
        <v>8675</v>
      </c>
      <c r="MRV67" s="137">
        <v>200</v>
      </c>
      <c r="MRW67" s="139">
        <f>SUM(MRU67:MRV67)</f>
        <v>8875</v>
      </c>
      <c r="MRX67" s="132" t="s">
        <v>113</v>
      </c>
      <c r="MRY67" s="133">
        <v>45845</v>
      </c>
      <c r="MRZ67" s="128" t="s">
        <v>41</v>
      </c>
      <c r="MSA67" s="207"/>
      <c r="MSB67" s="134" t="s">
        <v>136</v>
      </c>
      <c r="MSC67" s="205"/>
      <c r="MSD67" s="206"/>
      <c r="MSE67" s="128" t="s">
        <v>24</v>
      </c>
      <c r="MSF67" s="129">
        <v>8150</v>
      </c>
      <c r="MSG67" s="137">
        <v>85</v>
      </c>
      <c r="MSH67" s="138">
        <v>215</v>
      </c>
      <c r="MSI67" s="138">
        <v>75</v>
      </c>
      <c r="MSJ67" s="137">
        <v>150</v>
      </c>
      <c r="MSK67" s="139">
        <f>SUM(MSF67:MSJ67)</f>
        <v>8675</v>
      </c>
      <c r="MSL67" s="137">
        <v>200</v>
      </c>
      <c r="MSM67" s="139">
        <f>SUM(MSK67:MSL67)</f>
        <v>8875</v>
      </c>
      <c r="MSN67" s="132" t="s">
        <v>113</v>
      </c>
      <c r="MSO67" s="133">
        <v>45845</v>
      </c>
      <c r="MSP67" s="128" t="s">
        <v>41</v>
      </c>
      <c r="MSQ67" s="207"/>
      <c r="MSR67" s="134" t="s">
        <v>136</v>
      </c>
      <c r="MSS67" s="205"/>
      <c r="MST67" s="206"/>
      <c r="MSU67" s="128" t="s">
        <v>24</v>
      </c>
      <c r="MSV67" s="129">
        <v>8150</v>
      </c>
      <c r="MSW67" s="137">
        <v>85</v>
      </c>
      <c r="MSX67" s="138">
        <v>215</v>
      </c>
      <c r="MSY67" s="138">
        <v>75</v>
      </c>
      <c r="MSZ67" s="137">
        <v>150</v>
      </c>
      <c r="MTA67" s="139">
        <f>SUM(MSV67:MSZ67)</f>
        <v>8675</v>
      </c>
      <c r="MTB67" s="137">
        <v>200</v>
      </c>
      <c r="MTC67" s="139">
        <f>SUM(MTA67:MTB67)</f>
        <v>8875</v>
      </c>
      <c r="MTD67" s="132" t="s">
        <v>113</v>
      </c>
      <c r="MTE67" s="133">
        <v>45845</v>
      </c>
      <c r="MTF67" s="128" t="s">
        <v>41</v>
      </c>
      <c r="MTG67" s="207"/>
      <c r="MTH67" s="134" t="s">
        <v>136</v>
      </c>
      <c r="MTI67" s="205"/>
      <c r="MTJ67" s="206"/>
      <c r="MTK67" s="128" t="s">
        <v>24</v>
      </c>
      <c r="MTL67" s="129">
        <v>8150</v>
      </c>
      <c r="MTM67" s="137">
        <v>85</v>
      </c>
      <c r="MTN67" s="138">
        <v>215</v>
      </c>
      <c r="MTO67" s="138">
        <v>75</v>
      </c>
      <c r="MTP67" s="137">
        <v>150</v>
      </c>
      <c r="MTQ67" s="139">
        <f>SUM(MTL67:MTP67)</f>
        <v>8675</v>
      </c>
      <c r="MTR67" s="137">
        <v>200</v>
      </c>
      <c r="MTS67" s="139">
        <f>SUM(MTQ67:MTR67)</f>
        <v>8875</v>
      </c>
      <c r="MTT67" s="132" t="s">
        <v>113</v>
      </c>
      <c r="MTU67" s="133">
        <v>45845</v>
      </c>
      <c r="MTV67" s="128" t="s">
        <v>41</v>
      </c>
      <c r="MTW67" s="207"/>
      <c r="MTX67" s="134" t="s">
        <v>136</v>
      </c>
      <c r="MTY67" s="205"/>
      <c r="MTZ67" s="206"/>
      <c r="MUA67" s="128" t="s">
        <v>24</v>
      </c>
      <c r="MUB67" s="129">
        <v>8150</v>
      </c>
      <c r="MUC67" s="137">
        <v>85</v>
      </c>
      <c r="MUD67" s="138">
        <v>215</v>
      </c>
      <c r="MUE67" s="138">
        <v>75</v>
      </c>
      <c r="MUF67" s="137">
        <v>150</v>
      </c>
      <c r="MUG67" s="139">
        <f>SUM(MUB67:MUF67)</f>
        <v>8675</v>
      </c>
      <c r="MUH67" s="137">
        <v>200</v>
      </c>
      <c r="MUI67" s="139">
        <f>SUM(MUG67:MUH67)</f>
        <v>8875</v>
      </c>
      <c r="MUJ67" s="132" t="s">
        <v>113</v>
      </c>
      <c r="MUK67" s="133">
        <v>45845</v>
      </c>
      <c r="MUL67" s="128" t="s">
        <v>41</v>
      </c>
      <c r="MUM67" s="207"/>
      <c r="MUN67" s="134" t="s">
        <v>136</v>
      </c>
      <c r="MUO67" s="205"/>
      <c r="MUP67" s="206"/>
      <c r="MUQ67" s="128" t="s">
        <v>24</v>
      </c>
      <c r="MUR67" s="129">
        <v>8150</v>
      </c>
      <c r="MUS67" s="137">
        <v>85</v>
      </c>
      <c r="MUT67" s="138">
        <v>215</v>
      </c>
      <c r="MUU67" s="138">
        <v>75</v>
      </c>
      <c r="MUV67" s="137">
        <v>150</v>
      </c>
      <c r="MUW67" s="139">
        <f>SUM(MUR67:MUV67)</f>
        <v>8675</v>
      </c>
      <c r="MUX67" s="137">
        <v>200</v>
      </c>
      <c r="MUY67" s="139">
        <f>SUM(MUW67:MUX67)</f>
        <v>8875</v>
      </c>
      <c r="MUZ67" s="132" t="s">
        <v>113</v>
      </c>
      <c r="MVA67" s="133">
        <v>45845</v>
      </c>
      <c r="MVB67" s="128" t="s">
        <v>41</v>
      </c>
      <c r="MVC67" s="207"/>
      <c r="MVD67" s="134" t="s">
        <v>136</v>
      </c>
      <c r="MVE67" s="205"/>
      <c r="MVF67" s="206"/>
      <c r="MVG67" s="128" t="s">
        <v>24</v>
      </c>
      <c r="MVH67" s="129">
        <v>8150</v>
      </c>
      <c r="MVI67" s="137">
        <v>85</v>
      </c>
      <c r="MVJ67" s="138">
        <v>215</v>
      </c>
      <c r="MVK67" s="138">
        <v>75</v>
      </c>
      <c r="MVL67" s="137">
        <v>150</v>
      </c>
      <c r="MVM67" s="139">
        <f>SUM(MVH67:MVL67)</f>
        <v>8675</v>
      </c>
      <c r="MVN67" s="137">
        <v>200</v>
      </c>
      <c r="MVO67" s="139">
        <f>SUM(MVM67:MVN67)</f>
        <v>8875</v>
      </c>
      <c r="MVP67" s="132" t="s">
        <v>113</v>
      </c>
      <c r="MVQ67" s="133">
        <v>45845</v>
      </c>
      <c r="MVR67" s="128" t="s">
        <v>41</v>
      </c>
      <c r="MVS67" s="207"/>
      <c r="MVT67" s="134" t="s">
        <v>136</v>
      </c>
      <c r="MVU67" s="205"/>
      <c r="MVV67" s="206"/>
      <c r="MVW67" s="128" t="s">
        <v>24</v>
      </c>
      <c r="MVX67" s="129">
        <v>8150</v>
      </c>
      <c r="MVY67" s="137">
        <v>85</v>
      </c>
      <c r="MVZ67" s="138">
        <v>215</v>
      </c>
      <c r="MWA67" s="138">
        <v>75</v>
      </c>
      <c r="MWB67" s="137">
        <v>150</v>
      </c>
      <c r="MWC67" s="139">
        <f>SUM(MVX67:MWB67)</f>
        <v>8675</v>
      </c>
      <c r="MWD67" s="137">
        <v>200</v>
      </c>
      <c r="MWE67" s="139">
        <f>SUM(MWC67:MWD67)</f>
        <v>8875</v>
      </c>
      <c r="MWF67" s="132" t="s">
        <v>113</v>
      </c>
      <c r="MWG67" s="133">
        <v>45845</v>
      </c>
      <c r="MWH67" s="128" t="s">
        <v>41</v>
      </c>
      <c r="MWI67" s="207"/>
      <c r="MWJ67" s="134" t="s">
        <v>136</v>
      </c>
      <c r="MWK67" s="205"/>
      <c r="MWL67" s="206"/>
      <c r="MWM67" s="128" t="s">
        <v>24</v>
      </c>
      <c r="MWN67" s="129">
        <v>8150</v>
      </c>
      <c r="MWO67" s="137">
        <v>85</v>
      </c>
      <c r="MWP67" s="138">
        <v>215</v>
      </c>
      <c r="MWQ67" s="138">
        <v>75</v>
      </c>
      <c r="MWR67" s="137">
        <v>150</v>
      </c>
      <c r="MWS67" s="139">
        <f>SUM(MWN67:MWR67)</f>
        <v>8675</v>
      </c>
      <c r="MWT67" s="137">
        <v>200</v>
      </c>
      <c r="MWU67" s="139">
        <f>SUM(MWS67:MWT67)</f>
        <v>8875</v>
      </c>
      <c r="MWV67" s="132" t="s">
        <v>113</v>
      </c>
      <c r="MWW67" s="133">
        <v>45845</v>
      </c>
      <c r="MWX67" s="128" t="s">
        <v>41</v>
      </c>
      <c r="MWY67" s="207"/>
      <c r="MWZ67" s="134" t="s">
        <v>136</v>
      </c>
      <c r="MXA67" s="205"/>
      <c r="MXB67" s="206"/>
      <c r="MXC67" s="128" t="s">
        <v>24</v>
      </c>
      <c r="MXD67" s="129">
        <v>8150</v>
      </c>
      <c r="MXE67" s="137">
        <v>85</v>
      </c>
      <c r="MXF67" s="138">
        <v>215</v>
      </c>
      <c r="MXG67" s="138">
        <v>75</v>
      </c>
      <c r="MXH67" s="137">
        <v>150</v>
      </c>
      <c r="MXI67" s="139">
        <f>SUM(MXD67:MXH67)</f>
        <v>8675</v>
      </c>
      <c r="MXJ67" s="137">
        <v>200</v>
      </c>
      <c r="MXK67" s="139">
        <f>SUM(MXI67:MXJ67)</f>
        <v>8875</v>
      </c>
      <c r="MXL67" s="132" t="s">
        <v>113</v>
      </c>
      <c r="MXM67" s="133">
        <v>45845</v>
      </c>
      <c r="MXN67" s="128" t="s">
        <v>41</v>
      </c>
      <c r="MXO67" s="207"/>
      <c r="MXP67" s="134" t="s">
        <v>136</v>
      </c>
      <c r="MXQ67" s="205"/>
      <c r="MXR67" s="206"/>
      <c r="MXS67" s="128" t="s">
        <v>24</v>
      </c>
      <c r="MXT67" s="129">
        <v>8150</v>
      </c>
      <c r="MXU67" s="137">
        <v>85</v>
      </c>
      <c r="MXV67" s="138">
        <v>215</v>
      </c>
      <c r="MXW67" s="138">
        <v>75</v>
      </c>
      <c r="MXX67" s="137">
        <v>150</v>
      </c>
      <c r="MXY67" s="139">
        <f>SUM(MXT67:MXX67)</f>
        <v>8675</v>
      </c>
      <c r="MXZ67" s="137">
        <v>200</v>
      </c>
      <c r="MYA67" s="139">
        <f>SUM(MXY67:MXZ67)</f>
        <v>8875</v>
      </c>
      <c r="MYB67" s="132" t="s">
        <v>113</v>
      </c>
      <c r="MYC67" s="133">
        <v>45845</v>
      </c>
      <c r="MYD67" s="128" t="s">
        <v>41</v>
      </c>
      <c r="MYE67" s="207"/>
      <c r="MYF67" s="134" t="s">
        <v>136</v>
      </c>
      <c r="MYG67" s="205"/>
      <c r="MYH67" s="206"/>
      <c r="MYI67" s="128" t="s">
        <v>24</v>
      </c>
      <c r="MYJ67" s="129">
        <v>8150</v>
      </c>
      <c r="MYK67" s="137">
        <v>85</v>
      </c>
      <c r="MYL67" s="138">
        <v>215</v>
      </c>
      <c r="MYM67" s="138">
        <v>75</v>
      </c>
      <c r="MYN67" s="137">
        <v>150</v>
      </c>
      <c r="MYO67" s="139">
        <f>SUM(MYJ67:MYN67)</f>
        <v>8675</v>
      </c>
      <c r="MYP67" s="137">
        <v>200</v>
      </c>
      <c r="MYQ67" s="139">
        <f>SUM(MYO67:MYP67)</f>
        <v>8875</v>
      </c>
      <c r="MYR67" s="132" t="s">
        <v>113</v>
      </c>
      <c r="MYS67" s="133">
        <v>45845</v>
      </c>
      <c r="MYT67" s="128" t="s">
        <v>41</v>
      </c>
      <c r="MYU67" s="207"/>
      <c r="MYV67" s="134" t="s">
        <v>136</v>
      </c>
      <c r="MYW67" s="205"/>
      <c r="MYX67" s="206"/>
      <c r="MYY67" s="128" t="s">
        <v>24</v>
      </c>
      <c r="MYZ67" s="129">
        <v>8150</v>
      </c>
      <c r="MZA67" s="137">
        <v>85</v>
      </c>
      <c r="MZB67" s="138">
        <v>215</v>
      </c>
      <c r="MZC67" s="138">
        <v>75</v>
      </c>
      <c r="MZD67" s="137">
        <v>150</v>
      </c>
      <c r="MZE67" s="139">
        <f>SUM(MYZ67:MZD67)</f>
        <v>8675</v>
      </c>
      <c r="MZF67" s="137">
        <v>200</v>
      </c>
      <c r="MZG67" s="139">
        <f>SUM(MZE67:MZF67)</f>
        <v>8875</v>
      </c>
      <c r="MZH67" s="132" t="s">
        <v>113</v>
      </c>
      <c r="MZI67" s="133">
        <v>45845</v>
      </c>
      <c r="MZJ67" s="128" t="s">
        <v>41</v>
      </c>
      <c r="MZK67" s="207"/>
      <c r="MZL67" s="134" t="s">
        <v>136</v>
      </c>
      <c r="MZM67" s="205"/>
      <c r="MZN67" s="206"/>
      <c r="MZO67" s="128" t="s">
        <v>24</v>
      </c>
      <c r="MZP67" s="129">
        <v>8150</v>
      </c>
      <c r="MZQ67" s="137">
        <v>85</v>
      </c>
      <c r="MZR67" s="138">
        <v>215</v>
      </c>
      <c r="MZS67" s="138">
        <v>75</v>
      </c>
      <c r="MZT67" s="137">
        <v>150</v>
      </c>
      <c r="MZU67" s="139">
        <f>SUM(MZP67:MZT67)</f>
        <v>8675</v>
      </c>
      <c r="MZV67" s="137">
        <v>200</v>
      </c>
      <c r="MZW67" s="139">
        <f>SUM(MZU67:MZV67)</f>
        <v>8875</v>
      </c>
      <c r="MZX67" s="132" t="s">
        <v>113</v>
      </c>
      <c r="MZY67" s="133">
        <v>45845</v>
      </c>
      <c r="MZZ67" s="128" t="s">
        <v>41</v>
      </c>
      <c r="NAA67" s="207"/>
      <c r="NAB67" s="134" t="s">
        <v>136</v>
      </c>
      <c r="NAC67" s="205"/>
      <c r="NAD67" s="206"/>
      <c r="NAE67" s="128" t="s">
        <v>24</v>
      </c>
      <c r="NAF67" s="129">
        <v>8150</v>
      </c>
      <c r="NAG67" s="137">
        <v>85</v>
      </c>
      <c r="NAH67" s="138">
        <v>215</v>
      </c>
      <c r="NAI67" s="138">
        <v>75</v>
      </c>
      <c r="NAJ67" s="137">
        <v>150</v>
      </c>
      <c r="NAK67" s="139">
        <f>SUM(NAF67:NAJ67)</f>
        <v>8675</v>
      </c>
      <c r="NAL67" s="137">
        <v>200</v>
      </c>
      <c r="NAM67" s="139">
        <f>SUM(NAK67:NAL67)</f>
        <v>8875</v>
      </c>
      <c r="NAN67" s="132" t="s">
        <v>113</v>
      </c>
      <c r="NAO67" s="133">
        <v>45845</v>
      </c>
      <c r="NAP67" s="128" t="s">
        <v>41</v>
      </c>
      <c r="NAQ67" s="207"/>
      <c r="NAR67" s="134" t="s">
        <v>136</v>
      </c>
      <c r="NAS67" s="205"/>
      <c r="NAT67" s="206"/>
      <c r="NAU67" s="128" t="s">
        <v>24</v>
      </c>
      <c r="NAV67" s="129">
        <v>8150</v>
      </c>
      <c r="NAW67" s="137">
        <v>85</v>
      </c>
      <c r="NAX67" s="138">
        <v>215</v>
      </c>
      <c r="NAY67" s="138">
        <v>75</v>
      </c>
      <c r="NAZ67" s="137">
        <v>150</v>
      </c>
      <c r="NBA67" s="139">
        <f>SUM(NAV67:NAZ67)</f>
        <v>8675</v>
      </c>
      <c r="NBB67" s="137">
        <v>200</v>
      </c>
      <c r="NBC67" s="139">
        <f>SUM(NBA67:NBB67)</f>
        <v>8875</v>
      </c>
      <c r="NBD67" s="132" t="s">
        <v>113</v>
      </c>
      <c r="NBE67" s="133">
        <v>45845</v>
      </c>
      <c r="NBF67" s="128" t="s">
        <v>41</v>
      </c>
      <c r="NBG67" s="207"/>
      <c r="NBH67" s="134" t="s">
        <v>136</v>
      </c>
      <c r="NBI67" s="205"/>
      <c r="NBJ67" s="206"/>
      <c r="NBK67" s="128" t="s">
        <v>24</v>
      </c>
      <c r="NBL67" s="129">
        <v>8150</v>
      </c>
      <c r="NBM67" s="137">
        <v>85</v>
      </c>
      <c r="NBN67" s="138">
        <v>215</v>
      </c>
      <c r="NBO67" s="138">
        <v>75</v>
      </c>
      <c r="NBP67" s="137">
        <v>150</v>
      </c>
      <c r="NBQ67" s="139">
        <f>SUM(NBL67:NBP67)</f>
        <v>8675</v>
      </c>
      <c r="NBR67" s="137">
        <v>200</v>
      </c>
      <c r="NBS67" s="139">
        <f>SUM(NBQ67:NBR67)</f>
        <v>8875</v>
      </c>
      <c r="NBT67" s="132" t="s">
        <v>113</v>
      </c>
      <c r="NBU67" s="133">
        <v>45845</v>
      </c>
      <c r="NBV67" s="128" t="s">
        <v>41</v>
      </c>
      <c r="NBW67" s="207"/>
      <c r="NBX67" s="134" t="s">
        <v>136</v>
      </c>
      <c r="NBY67" s="205"/>
      <c r="NBZ67" s="206"/>
      <c r="NCA67" s="128" t="s">
        <v>24</v>
      </c>
      <c r="NCB67" s="129">
        <v>8150</v>
      </c>
      <c r="NCC67" s="137">
        <v>85</v>
      </c>
      <c r="NCD67" s="138">
        <v>215</v>
      </c>
      <c r="NCE67" s="138">
        <v>75</v>
      </c>
      <c r="NCF67" s="137">
        <v>150</v>
      </c>
      <c r="NCG67" s="139">
        <f>SUM(NCB67:NCF67)</f>
        <v>8675</v>
      </c>
      <c r="NCH67" s="137">
        <v>200</v>
      </c>
      <c r="NCI67" s="139">
        <f>SUM(NCG67:NCH67)</f>
        <v>8875</v>
      </c>
      <c r="NCJ67" s="132" t="s">
        <v>113</v>
      </c>
      <c r="NCK67" s="133">
        <v>45845</v>
      </c>
      <c r="NCL67" s="128" t="s">
        <v>41</v>
      </c>
      <c r="NCM67" s="207"/>
      <c r="NCN67" s="134" t="s">
        <v>136</v>
      </c>
      <c r="NCO67" s="205"/>
      <c r="NCP67" s="206"/>
      <c r="NCQ67" s="128" t="s">
        <v>24</v>
      </c>
      <c r="NCR67" s="129">
        <v>8150</v>
      </c>
      <c r="NCS67" s="137">
        <v>85</v>
      </c>
      <c r="NCT67" s="138">
        <v>215</v>
      </c>
      <c r="NCU67" s="138">
        <v>75</v>
      </c>
      <c r="NCV67" s="137">
        <v>150</v>
      </c>
      <c r="NCW67" s="139">
        <f>SUM(NCR67:NCV67)</f>
        <v>8675</v>
      </c>
      <c r="NCX67" s="137">
        <v>200</v>
      </c>
      <c r="NCY67" s="139">
        <f>SUM(NCW67:NCX67)</f>
        <v>8875</v>
      </c>
      <c r="NCZ67" s="132" t="s">
        <v>113</v>
      </c>
      <c r="NDA67" s="133">
        <v>45845</v>
      </c>
      <c r="NDB67" s="128" t="s">
        <v>41</v>
      </c>
      <c r="NDC67" s="207"/>
      <c r="NDD67" s="134" t="s">
        <v>136</v>
      </c>
      <c r="NDE67" s="205"/>
      <c r="NDF67" s="206"/>
      <c r="NDG67" s="128" t="s">
        <v>24</v>
      </c>
      <c r="NDH67" s="129">
        <v>8150</v>
      </c>
      <c r="NDI67" s="137">
        <v>85</v>
      </c>
      <c r="NDJ67" s="138">
        <v>215</v>
      </c>
      <c r="NDK67" s="138">
        <v>75</v>
      </c>
      <c r="NDL67" s="137">
        <v>150</v>
      </c>
      <c r="NDM67" s="139">
        <f>SUM(NDH67:NDL67)</f>
        <v>8675</v>
      </c>
      <c r="NDN67" s="137">
        <v>200</v>
      </c>
      <c r="NDO67" s="139">
        <f>SUM(NDM67:NDN67)</f>
        <v>8875</v>
      </c>
      <c r="NDP67" s="132" t="s">
        <v>113</v>
      </c>
      <c r="NDQ67" s="133">
        <v>45845</v>
      </c>
      <c r="NDR67" s="128" t="s">
        <v>41</v>
      </c>
      <c r="NDS67" s="207"/>
      <c r="NDT67" s="134" t="s">
        <v>136</v>
      </c>
      <c r="NDU67" s="205"/>
      <c r="NDV67" s="206"/>
      <c r="NDW67" s="128" t="s">
        <v>24</v>
      </c>
      <c r="NDX67" s="129">
        <v>8150</v>
      </c>
      <c r="NDY67" s="137">
        <v>85</v>
      </c>
      <c r="NDZ67" s="138">
        <v>215</v>
      </c>
      <c r="NEA67" s="138">
        <v>75</v>
      </c>
      <c r="NEB67" s="137">
        <v>150</v>
      </c>
      <c r="NEC67" s="139">
        <f>SUM(NDX67:NEB67)</f>
        <v>8675</v>
      </c>
      <c r="NED67" s="137">
        <v>200</v>
      </c>
      <c r="NEE67" s="139">
        <f>SUM(NEC67:NED67)</f>
        <v>8875</v>
      </c>
      <c r="NEF67" s="132" t="s">
        <v>113</v>
      </c>
      <c r="NEG67" s="133">
        <v>45845</v>
      </c>
      <c r="NEH67" s="128" t="s">
        <v>41</v>
      </c>
      <c r="NEI67" s="207"/>
      <c r="NEJ67" s="134" t="s">
        <v>136</v>
      </c>
      <c r="NEK67" s="205"/>
      <c r="NEL67" s="206"/>
      <c r="NEM67" s="128" t="s">
        <v>24</v>
      </c>
      <c r="NEN67" s="129">
        <v>8150</v>
      </c>
      <c r="NEO67" s="137">
        <v>85</v>
      </c>
      <c r="NEP67" s="138">
        <v>215</v>
      </c>
      <c r="NEQ67" s="138">
        <v>75</v>
      </c>
      <c r="NER67" s="137">
        <v>150</v>
      </c>
      <c r="NES67" s="139">
        <f>SUM(NEN67:NER67)</f>
        <v>8675</v>
      </c>
      <c r="NET67" s="137">
        <v>200</v>
      </c>
      <c r="NEU67" s="139">
        <f>SUM(NES67:NET67)</f>
        <v>8875</v>
      </c>
      <c r="NEV67" s="132" t="s">
        <v>113</v>
      </c>
      <c r="NEW67" s="133">
        <v>45845</v>
      </c>
      <c r="NEX67" s="128" t="s">
        <v>41</v>
      </c>
      <c r="NEY67" s="207"/>
      <c r="NEZ67" s="134" t="s">
        <v>136</v>
      </c>
      <c r="NFA67" s="205"/>
      <c r="NFB67" s="206"/>
      <c r="NFC67" s="128" t="s">
        <v>24</v>
      </c>
      <c r="NFD67" s="129">
        <v>8150</v>
      </c>
      <c r="NFE67" s="137">
        <v>85</v>
      </c>
      <c r="NFF67" s="138">
        <v>215</v>
      </c>
      <c r="NFG67" s="138">
        <v>75</v>
      </c>
      <c r="NFH67" s="137">
        <v>150</v>
      </c>
      <c r="NFI67" s="139">
        <f>SUM(NFD67:NFH67)</f>
        <v>8675</v>
      </c>
      <c r="NFJ67" s="137">
        <v>200</v>
      </c>
      <c r="NFK67" s="139">
        <f>SUM(NFI67:NFJ67)</f>
        <v>8875</v>
      </c>
      <c r="NFL67" s="132" t="s">
        <v>113</v>
      </c>
      <c r="NFM67" s="133">
        <v>45845</v>
      </c>
      <c r="NFN67" s="128" t="s">
        <v>41</v>
      </c>
      <c r="NFO67" s="207"/>
      <c r="NFP67" s="134" t="s">
        <v>136</v>
      </c>
      <c r="NFQ67" s="205"/>
      <c r="NFR67" s="206"/>
      <c r="NFS67" s="128" t="s">
        <v>24</v>
      </c>
      <c r="NFT67" s="129">
        <v>8150</v>
      </c>
      <c r="NFU67" s="137">
        <v>85</v>
      </c>
      <c r="NFV67" s="138">
        <v>215</v>
      </c>
      <c r="NFW67" s="138">
        <v>75</v>
      </c>
      <c r="NFX67" s="137">
        <v>150</v>
      </c>
      <c r="NFY67" s="139">
        <f>SUM(NFT67:NFX67)</f>
        <v>8675</v>
      </c>
      <c r="NFZ67" s="137">
        <v>200</v>
      </c>
      <c r="NGA67" s="139">
        <f>SUM(NFY67:NFZ67)</f>
        <v>8875</v>
      </c>
      <c r="NGB67" s="132" t="s">
        <v>113</v>
      </c>
      <c r="NGC67" s="133">
        <v>45845</v>
      </c>
      <c r="NGD67" s="128" t="s">
        <v>41</v>
      </c>
      <c r="NGE67" s="207"/>
      <c r="NGF67" s="134" t="s">
        <v>136</v>
      </c>
      <c r="NGG67" s="205"/>
      <c r="NGH67" s="206"/>
      <c r="NGI67" s="128" t="s">
        <v>24</v>
      </c>
      <c r="NGJ67" s="129">
        <v>8150</v>
      </c>
      <c r="NGK67" s="137">
        <v>85</v>
      </c>
      <c r="NGL67" s="138">
        <v>215</v>
      </c>
      <c r="NGM67" s="138">
        <v>75</v>
      </c>
      <c r="NGN67" s="137">
        <v>150</v>
      </c>
      <c r="NGO67" s="139">
        <f>SUM(NGJ67:NGN67)</f>
        <v>8675</v>
      </c>
      <c r="NGP67" s="137">
        <v>200</v>
      </c>
      <c r="NGQ67" s="139">
        <f>SUM(NGO67:NGP67)</f>
        <v>8875</v>
      </c>
      <c r="NGR67" s="132" t="s">
        <v>113</v>
      </c>
      <c r="NGS67" s="133">
        <v>45845</v>
      </c>
      <c r="NGT67" s="128" t="s">
        <v>41</v>
      </c>
      <c r="NGU67" s="207"/>
      <c r="NGV67" s="134" t="s">
        <v>136</v>
      </c>
      <c r="NGW67" s="205"/>
      <c r="NGX67" s="206"/>
      <c r="NGY67" s="128" t="s">
        <v>24</v>
      </c>
      <c r="NGZ67" s="129">
        <v>8150</v>
      </c>
      <c r="NHA67" s="137">
        <v>85</v>
      </c>
      <c r="NHB67" s="138">
        <v>215</v>
      </c>
      <c r="NHC67" s="138">
        <v>75</v>
      </c>
      <c r="NHD67" s="137">
        <v>150</v>
      </c>
      <c r="NHE67" s="139">
        <f>SUM(NGZ67:NHD67)</f>
        <v>8675</v>
      </c>
      <c r="NHF67" s="137">
        <v>200</v>
      </c>
      <c r="NHG67" s="139">
        <f>SUM(NHE67:NHF67)</f>
        <v>8875</v>
      </c>
      <c r="NHH67" s="132" t="s">
        <v>113</v>
      </c>
      <c r="NHI67" s="133">
        <v>45845</v>
      </c>
      <c r="NHJ67" s="128" t="s">
        <v>41</v>
      </c>
      <c r="NHK67" s="207"/>
      <c r="NHL67" s="134" t="s">
        <v>136</v>
      </c>
      <c r="NHM67" s="205"/>
      <c r="NHN67" s="206"/>
      <c r="NHO67" s="128" t="s">
        <v>24</v>
      </c>
      <c r="NHP67" s="129">
        <v>8150</v>
      </c>
      <c r="NHQ67" s="137">
        <v>85</v>
      </c>
      <c r="NHR67" s="138">
        <v>215</v>
      </c>
      <c r="NHS67" s="138">
        <v>75</v>
      </c>
      <c r="NHT67" s="137">
        <v>150</v>
      </c>
      <c r="NHU67" s="139">
        <f>SUM(NHP67:NHT67)</f>
        <v>8675</v>
      </c>
      <c r="NHV67" s="137">
        <v>200</v>
      </c>
      <c r="NHW67" s="139">
        <f>SUM(NHU67:NHV67)</f>
        <v>8875</v>
      </c>
      <c r="NHX67" s="132" t="s">
        <v>113</v>
      </c>
      <c r="NHY67" s="133">
        <v>45845</v>
      </c>
      <c r="NHZ67" s="128" t="s">
        <v>41</v>
      </c>
      <c r="NIA67" s="207"/>
      <c r="NIB67" s="134" t="s">
        <v>136</v>
      </c>
      <c r="NIC67" s="205"/>
      <c r="NID67" s="206"/>
      <c r="NIE67" s="128" t="s">
        <v>24</v>
      </c>
      <c r="NIF67" s="129">
        <v>8150</v>
      </c>
      <c r="NIG67" s="137">
        <v>85</v>
      </c>
      <c r="NIH67" s="138">
        <v>215</v>
      </c>
      <c r="NII67" s="138">
        <v>75</v>
      </c>
      <c r="NIJ67" s="137">
        <v>150</v>
      </c>
      <c r="NIK67" s="139">
        <f>SUM(NIF67:NIJ67)</f>
        <v>8675</v>
      </c>
      <c r="NIL67" s="137">
        <v>200</v>
      </c>
      <c r="NIM67" s="139">
        <f>SUM(NIK67:NIL67)</f>
        <v>8875</v>
      </c>
      <c r="NIN67" s="132" t="s">
        <v>113</v>
      </c>
      <c r="NIO67" s="133">
        <v>45845</v>
      </c>
      <c r="NIP67" s="128" t="s">
        <v>41</v>
      </c>
      <c r="NIQ67" s="207"/>
      <c r="NIR67" s="134" t="s">
        <v>136</v>
      </c>
      <c r="NIS67" s="205"/>
      <c r="NIT67" s="206"/>
      <c r="NIU67" s="128" t="s">
        <v>24</v>
      </c>
      <c r="NIV67" s="129">
        <v>8150</v>
      </c>
      <c r="NIW67" s="137">
        <v>85</v>
      </c>
      <c r="NIX67" s="138">
        <v>215</v>
      </c>
      <c r="NIY67" s="138">
        <v>75</v>
      </c>
      <c r="NIZ67" s="137">
        <v>150</v>
      </c>
      <c r="NJA67" s="139">
        <f>SUM(NIV67:NIZ67)</f>
        <v>8675</v>
      </c>
      <c r="NJB67" s="137">
        <v>200</v>
      </c>
      <c r="NJC67" s="139">
        <f>SUM(NJA67:NJB67)</f>
        <v>8875</v>
      </c>
      <c r="NJD67" s="132" t="s">
        <v>113</v>
      </c>
      <c r="NJE67" s="133">
        <v>45845</v>
      </c>
      <c r="NJF67" s="128" t="s">
        <v>41</v>
      </c>
      <c r="NJG67" s="207"/>
      <c r="NJH67" s="134" t="s">
        <v>136</v>
      </c>
      <c r="NJI67" s="205"/>
      <c r="NJJ67" s="206"/>
      <c r="NJK67" s="128" t="s">
        <v>24</v>
      </c>
      <c r="NJL67" s="129">
        <v>8150</v>
      </c>
      <c r="NJM67" s="137">
        <v>85</v>
      </c>
      <c r="NJN67" s="138">
        <v>215</v>
      </c>
      <c r="NJO67" s="138">
        <v>75</v>
      </c>
      <c r="NJP67" s="137">
        <v>150</v>
      </c>
      <c r="NJQ67" s="139">
        <f>SUM(NJL67:NJP67)</f>
        <v>8675</v>
      </c>
      <c r="NJR67" s="137">
        <v>200</v>
      </c>
      <c r="NJS67" s="139">
        <f>SUM(NJQ67:NJR67)</f>
        <v>8875</v>
      </c>
      <c r="NJT67" s="132" t="s">
        <v>113</v>
      </c>
      <c r="NJU67" s="133">
        <v>45845</v>
      </c>
      <c r="NJV67" s="128" t="s">
        <v>41</v>
      </c>
      <c r="NJW67" s="207"/>
      <c r="NJX67" s="134" t="s">
        <v>136</v>
      </c>
      <c r="NJY67" s="205"/>
      <c r="NJZ67" s="206"/>
      <c r="NKA67" s="128" t="s">
        <v>24</v>
      </c>
      <c r="NKB67" s="129">
        <v>8150</v>
      </c>
      <c r="NKC67" s="137">
        <v>85</v>
      </c>
      <c r="NKD67" s="138">
        <v>215</v>
      </c>
      <c r="NKE67" s="138">
        <v>75</v>
      </c>
      <c r="NKF67" s="137">
        <v>150</v>
      </c>
      <c r="NKG67" s="139">
        <f>SUM(NKB67:NKF67)</f>
        <v>8675</v>
      </c>
      <c r="NKH67" s="137">
        <v>200</v>
      </c>
      <c r="NKI67" s="139">
        <f>SUM(NKG67:NKH67)</f>
        <v>8875</v>
      </c>
      <c r="NKJ67" s="132" t="s">
        <v>113</v>
      </c>
      <c r="NKK67" s="133">
        <v>45845</v>
      </c>
      <c r="NKL67" s="128" t="s">
        <v>41</v>
      </c>
      <c r="NKM67" s="207"/>
      <c r="NKN67" s="134" t="s">
        <v>136</v>
      </c>
      <c r="NKO67" s="205"/>
      <c r="NKP67" s="206"/>
      <c r="NKQ67" s="128" t="s">
        <v>24</v>
      </c>
      <c r="NKR67" s="129">
        <v>8150</v>
      </c>
      <c r="NKS67" s="137">
        <v>85</v>
      </c>
      <c r="NKT67" s="138">
        <v>215</v>
      </c>
      <c r="NKU67" s="138">
        <v>75</v>
      </c>
      <c r="NKV67" s="137">
        <v>150</v>
      </c>
      <c r="NKW67" s="139">
        <f>SUM(NKR67:NKV67)</f>
        <v>8675</v>
      </c>
      <c r="NKX67" s="137">
        <v>200</v>
      </c>
      <c r="NKY67" s="139">
        <f>SUM(NKW67:NKX67)</f>
        <v>8875</v>
      </c>
      <c r="NKZ67" s="132" t="s">
        <v>113</v>
      </c>
      <c r="NLA67" s="133">
        <v>45845</v>
      </c>
      <c r="NLB67" s="128" t="s">
        <v>41</v>
      </c>
      <c r="NLC67" s="207"/>
      <c r="NLD67" s="134" t="s">
        <v>136</v>
      </c>
      <c r="NLE67" s="205"/>
      <c r="NLF67" s="206"/>
      <c r="NLG67" s="128" t="s">
        <v>24</v>
      </c>
      <c r="NLH67" s="129">
        <v>8150</v>
      </c>
      <c r="NLI67" s="137">
        <v>85</v>
      </c>
      <c r="NLJ67" s="138">
        <v>215</v>
      </c>
      <c r="NLK67" s="138">
        <v>75</v>
      </c>
      <c r="NLL67" s="137">
        <v>150</v>
      </c>
      <c r="NLM67" s="139">
        <f>SUM(NLH67:NLL67)</f>
        <v>8675</v>
      </c>
      <c r="NLN67" s="137">
        <v>200</v>
      </c>
      <c r="NLO67" s="139">
        <f>SUM(NLM67:NLN67)</f>
        <v>8875</v>
      </c>
      <c r="NLP67" s="132" t="s">
        <v>113</v>
      </c>
      <c r="NLQ67" s="133">
        <v>45845</v>
      </c>
      <c r="NLR67" s="128" t="s">
        <v>41</v>
      </c>
      <c r="NLS67" s="207"/>
      <c r="NLT67" s="134" t="s">
        <v>136</v>
      </c>
      <c r="NLU67" s="205"/>
      <c r="NLV67" s="206"/>
      <c r="NLW67" s="128" t="s">
        <v>24</v>
      </c>
      <c r="NLX67" s="129">
        <v>8150</v>
      </c>
      <c r="NLY67" s="137">
        <v>85</v>
      </c>
      <c r="NLZ67" s="138">
        <v>215</v>
      </c>
      <c r="NMA67" s="138">
        <v>75</v>
      </c>
      <c r="NMB67" s="137">
        <v>150</v>
      </c>
      <c r="NMC67" s="139">
        <f>SUM(NLX67:NMB67)</f>
        <v>8675</v>
      </c>
      <c r="NMD67" s="137">
        <v>200</v>
      </c>
      <c r="NME67" s="139">
        <f>SUM(NMC67:NMD67)</f>
        <v>8875</v>
      </c>
      <c r="NMF67" s="132" t="s">
        <v>113</v>
      </c>
      <c r="NMG67" s="133">
        <v>45845</v>
      </c>
      <c r="NMH67" s="128" t="s">
        <v>41</v>
      </c>
      <c r="NMI67" s="207"/>
      <c r="NMJ67" s="134" t="s">
        <v>136</v>
      </c>
      <c r="NMK67" s="205"/>
      <c r="NML67" s="206"/>
      <c r="NMM67" s="128" t="s">
        <v>24</v>
      </c>
      <c r="NMN67" s="129">
        <v>8150</v>
      </c>
      <c r="NMO67" s="137">
        <v>85</v>
      </c>
      <c r="NMP67" s="138">
        <v>215</v>
      </c>
      <c r="NMQ67" s="138">
        <v>75</v>
      </c>
      <c r="NMR67" s="137">
        <v>150</v>
      </c>
      <c r="NMS67" s="139">
        <f>SUM(NMN67:NMR67)</f>
        <v>8675</v>
      </c>
      <c r="NMT67" s="137">
        <v>200</v>
      </c>
      <c r="NMU67" s="139">
        <f>SUM(NMS67:NMT67)</f>
        <v>8875</v>
      </c>
      <c r="NMV67" s="132" t="s">
        <v>113</v>
      </c>
      <c r="NMW67" s="133">
        <v>45845</v>
      </c>
      <c r="NMX67" s="128" t="s">
        <v>41</v>
      </c>
      <c r="NMY67" s="207"/>
      <c r="NMZ67" s="134" t="s">
        <v>136</v>
      </c>
      <c r="NNA67" s="205"/>
      <c r="NNB67" s="206"/>
      <c r="NNC67" s="128" t="s">
        <v>24</v>
      </c>
      <c r="NND67" s="129">
        <v>8150</v>
      </c>
      <c r="NNE67" s="137">
        <v>85</v>
      </c>
      <c r="NNF67" s="138">
        <v>215</v>
      </c>
      <c r="NNG67" s="138">
        <v>75</v>
      </c>
      <c r="NNH67" s="137">
        <v>150</v>
      </c>
      <c r="NNI67" s="139">
        <f>SUM(NND67:NNH67)</f>
        <v>8675</v>
      </c>
      <c r="NNJ67" s="137">
        <v>200</v>
      </c>
      <c r="NNK67" s="139">
        <f>SUM(NNI67:NNJ67)</f>
        <v>8875</v>
      </c>
      <c r="NNL67" s="132" t="s">
        <v>113</v>
      </c>
      <c r="NNM67" s="133">
        <v>45845</v>
      </c>
      <c r="NNN67" s="128" t="s">
        <v>41</v>
      </c>
      <c r="NNO67" s="207"/>
      <c r="NNP67" s="134" t="s">
        <v>136</v>
      </c>
      <c r="NNQ67" s="205"/>
      <c r="NNR67" s="206"/>
      <c r="NNS67" s="128" t="s">
        <v>24</v>
      </c>
      <c r="NNT67" s="129">
        <v>8150</v>
      </c>
      <c r="NNU67" s="137">
        <v>85</v>
      </c>
      <c r="NNV67" s="138">
        <v>215</v>
      </c>
      <c r="NNW67" s="138">
        <v>75</v>
      </c>
      <c r="NNX67" s="137">
        <v>150</v>
      </c>
      <c r="NNY67" s="139">
        <f>SUM(NNT67:NNX67)</f>
        <v>8675</v>
      </c>
      <c r="NNZ67" s="137">
        <v>200</v>
      </c>
      <c r="NOA67" s="139">
        <f>SUM(NNY67:NNZ67)</f>
        <v>8875</v>
      </c>
      <c r="NOB67" s="132" t="s">
        <v>113</v>
      </c>
      <c r="NOC67" s="133">
        <v>45845</v>
      </c>
      <c r="NOD67" s="128" t="s">
        <v>41</v>
      </c>
      <c r="NOE67" s="207"/>
      <c r="NOF67" s="134" t="s">
        <v>136</v>
      </c>
      <c r="NOG67" s="205"/>
      <c r="NOH67" s="206"/>
      <c r="NOI67" s="128" t="s">
        <v>24</v>
      </c>
      <c r="NOJ67" s="129">
        <v>8150</v>
      </c>
      <c r="NOK67" s="137">
        <v>85</v>
      </c>
      <c r="NOL67" s="138">
        <v>215</v>
      </c>
      <c r="NOM67" s="138">
        <v>75</v>
      </c>
      <c r="NON67" s="137">
        <v>150</v>
      </c>
      <c r="NOO67" s="139">
        <f>SUM(NOJ67:NON67)</f>
        <v>8675</v>
      </c>
      <c r="NOP67" s="137">
        <v>200</v>
      </c>
      <c r="NOQ67" s="139">
        <f>SUM(NOO67:NOP67)</f>
        <v>8875</v>
      </c>
      <c r="NOR67" s="132" t="s">
        <v>113</v>
      </c>
      <c r="NOS67" s="133">
        <v>45845</v>
      </c>
      <c r="NOT67" s="128" t="s">
        <v>41</v>
      </c>
      <c r="NOU67" s="207"/>
      <c r="NOV67" s="134" t="s">
        <v>136</v>
      </c>
      <c r="NOW67" s="205"/>
      <c r="NOX67" s="206"/>
      <c r="NOY67" s="128" t="s">
        <v>24</v>
      </c>
      <c r="NOZ67" s="129">
        <v>8150</v>
      </c>
      <c r="NPA67" s="137">
        <v>85</v>
      </c>
      <c r="NPB67" s="138">
        <v>215</v>
      </c>
      <c r="NPC67" s="138">
        <v>75</v>
      </c>
      <c r="NPD67" s="137">
        <v>150</v>
      </c>
      <c r="NPE67" s="139">
        <f>SUM(NOZ67:NPD67)</f>
        <v>8675</v>
      </c>
      <c r="NPF67" s="137">
        <v>200</v>
      </c>
      <c r="NPG67" s="139">
        <f>SUM(NPE67:NPF67)</f>
        <v>8875</v>
      </c>
      <c r="NPH67" s="132" t="s">
        <v>113</v>
      </c>
      <c r="NPI67" s="133">
        <v>45845</v>
      </c>
      <c r="NPJ67" s="128" t="s">
        <v>41</v>
      </c>
      <c r="NPK67" s="207"/>
      <c r="NPL67" s="134" t="s">
        <v>136</v>
      </c>
      <c r="NPM67" s="205"/>
      <c r="NPN67" s="206"/>
      <c r="NPO67" s="128" t="s">
        <v>24</v>
      </c>
      <c r="NPP67" s="129">
        <v>8150</v>
      </c>
      <c r="NPQ67" s="137">
        <v>85</v>
      </c>
      <c r="NPR67" s="138">
        <v>215</v>
      </c>
      <c r="NPS67" s="138">
        <v>75</v>
      </c>
      <c r="NPT67" s="137">
        <v>150</v>
      </c>
      <c r="NPU67" s="139">
        <f>SUM(NPP67:NPT67)</f>
        <v>8675</v>
      </c>
      <c r="NPV67" s="137">
        <v>200</v>
      </c>
      <c r="NPW67" s="139">
        <f>SUM(NPU67:NPV67)</f>
        <v>8875</v>
      </c>
      <c r="NPX67" s="132" t="s">
        <v>113</v>
      </c>
      <c r="NPY67" s="133">
        <v>45845</v>
      </c>
      <c r="NPZ67" s="128" t="s">
        <v>41</v>
      </c>
      <c r="NQA67" s="207"/>
      <c r="NQB67" s="134" t="s">
        <v>136</v>
      </c>
      <c r="NQC67" s="205"/>
      <c r="NQD67" s="206"/>
      <c r="NQE67" s="128" t="s">
        <v>24</v>
      </c>
      <c r="NQF67" s="129">
        <v>8150</v>
      </c>
      <c r="NQG67" s="137">
        <v>85</v>
      </c>
      <c r="NQH67" s="138">
        <v>215</v>
      </c>
      <c r="NQI67" s="138">
        <v>75</v>
      </c>
      <c r="NQJ67" s="137">
        <v>150</v>
      </c>
      <c r="NQK67" s="139">
        <f>SUM(NQF67:NQJ67)</f>
        <v>8675</v>
      </c>
      <c r="NQL67" s="137">
        <v>200</v>
      </c>
      <c r="NQM67" s="139">
        <f>SUM(NQK67:NQL67)</f>
        <v>8875</v>
      </c>
      <c r="NQN67" s="132" t="s">
        <v>113</v>
      </c>
      <c r="NQO67" s="133">
        <v>45845</v>
      </c>
      <c r="NQP67" s="128" t="s">
        <v>41</v>
      </c>
      <c r="NQQ67" s="207"/>
      <c r="NQR67" s="134" t="s">
        <v>136</v>
      </c>
      <c r="NQS67" s="205"/>
      <c r="NQT67" s="206"/>
      <c r="NQU67" s="128" t="s">
        <v>24</v>
      </c>
      <c r="NQV67" s="129">
        <v>8150</v>
      </c>
      <c r="NQW67" s="137">
        <v>85</v>
      </c>
      <c r="NQX67" s="138">
        <v>215</v>
      </c>
      <c r="NQY67" s="138">
        <v>75</v>
      </c>
      <c r="NQZ67" s="137">
        <v>150</v>
      </c>
      <c r="NRA67" s="139">
        <f>SUM(NQV67:NQZ67)</f>
        <v>8675</v>
      </c>
      <c r="NRB67" s="137">
        <v>200</v>
      </c>
      <c r="NRC67" s="139">
        <f>SUM(NRA67:NRB67)</f>
        <v>8875</v>
      </c>
      <c r="NRD67" s="132" t="s">
        <v>113</v>
      </c>
      <c r="NRE67" s="133">
        <v>45845</v>
      </c>
      <c r="NRF67" s="128" t="s">
        <v>41</v>
      </c>
      <c r="NRG67" s="207"/>
      <c r="NRH67" s="134" t="s">
        <v>136</v>
      </c>
      <c r="NRI67" s="205"/>
      <c r="NRJ67" s="206"/>
      <c r="NRK67" s="128" t="s">
        <v>24</v>
      </c>
      <c r="NRL67" s="129">
        <v>8150</v>
      </c>
      <c r="NRM67" s="137">
        <v>85</v>
      </c>
      <c r="NRN67" s="138">
        <v>215</v>
      </c>
      <c r="NRO67" s="138">
        <v>75</v>
      </c>
      <c r="NRP67" s="137">
        <v>150</v>
      </c>
      <c r="NRQ67" s="139">
        <f>SUM(NRL67:NRP67)</f>
        <v>8675</v>
      </c>
      <c r="NRR67" s="137">
        <v>200</v>
      </c>
      <c r="NRS67" s="139">
        <f>SUM(NRQ67:NRR67)</f>
        <v>8875</v>
      </c>
      <c r="NRT67" s="132" t="s">
        <v>113</v>
      </c>
      <c r="NRU67" s="133">
        <v>45845</v>
      </c>
      <c r="NRV67" s="128" t="s">
        <v>41</v>
      </c>
      <c r="NRW67" s="207"/>
      <c r="NRX67" s="134" t="s">
        <v>136</v>
      </c>
      <c r="NRY67" s="205"/>
      <c r="NRZ67" s="206"/>
      <c r="NSA67" s="128" t="s">
        <v>24</v>
      </c>
      <c r="NSB67" s="129">
        <v>8150</v>
      </c>
      <c r="NSC67" s="137">
        <v>85</v>
      </c>
      <c r="NSD67" s="138">
        <v>215</v>
      </c>
      <c r="NSE67" s="138">
        <v>75</v>
      </c>
      <c r="NSF67" s="137">
        <v>150</v>
      </c>
      <c r="NSG67" s="139">
        <f>SUM(NSB67:NSF67)</f>
        <v>8675</v>
      </c>
      <c r="NSH67" s="137">
        <v>200</v>
      </c>
      <c r="NSI67" s="139">
        <f>SUM(NSG67:NSH67)</f>
        <v>8875</v>
      </c>
      <c r="NSJ67" s="132" t="s">
        <v>113</v>
      </c>
      <c r="NSK67" s="133">
        <v>45845</v>
      </c>
      <c r="NSL67" s="128" t="s">
        <v>41</v>
      </c>
      <c r="NSM67" s="207"/>
      <c r="NSN67" s="134" t="s">
        <v>136</v>
      </c>
      <c r="NSO67" s="205"/>
      <c r="NSP67" s="206"/>
      <c r="NSQ67" s="128" t="s">
        <v>24</v>
      </c>
      <c r="NSR67" s="129">
        <v>8150</v>
      </c>
      <c r="NSS67" s="137">
        <v>85</v>
      </c>
      <c r="NST67" s="138">
        <v>215</v>
      </c>
      <c r="NSU67" s="138">
        <v>75</v>
      </c>
      <c r="NSV67" s="137">
        <v>150</v>
      </c>
      <c r="NSW67" s="139">
        <f>SUM(NSR67:NSV67)</f>
        <v>8675</v>
      </c>
      <c r="NSX67" s="137">
        <v>200</v>
      </c>
      <c r="NSY67" s="139">
        <f>SUM(NSW67:NSX67)</f>
        <v>8875</v>
      </c>
      <c r="NSZ67" s="132" t="s">
        <v>113</v>
      </c>
      <c r="NTA67" s="133">
        <v>45845</v>
      </c>
      <c r="NTB67" s="128" t="s">
        <v>41</v>
      </c>
      <c r="NTC67" s="207"/>
      <c r="NTD67" s="134" t="s">
        <v>136</v>
      </c>
      <c r="NTE67" s="205"/>
      <c r="NTF67" s="206"/>
      <c r="NTG67" s="128" t="s">
        <v>24</v>
      </c>
      <c r="NTH67" s="129">
        <v>8150</v>
      </c>
      <c r="NTI67" s="137">
        <v>85</v>
      </c>
      <c r="NTJ67" s="138">
        <v>215</v>
      </c>
      <c r="NTK67" s="138">
        <v>75</v>
      </c>
      <c r="NTL67" s="137">
        <v>150</v>
      </c>
      <c r="NTM67" s="139">
        <f>SUM(NTH67:NTL67)</f>
        <v>8675</v>
      </c>
      <c r="NTN67" s="137">
        <v>200</v>
      </c>
      <c r="NTO67" s="139">
        <f>SUM(NTM67:NTN67)</f>
        <v>8875</v>
      </c>
      <c r="NTP67" s="132" t="s">
        <v>113</v>
      </c>
      <c r="NTQ67" s="133">
        <v>45845</v>
      </c>
      <c r="NTR67" s="128" t="s">
        <v>41</v>
      </c>
      <c r="NTS67" s="207"/>
      <c r="NTT67" s="134" t="s">
        <v>136</v>
      </c>
      <c r="NTU67" s="205"/>
      <c r="NTV67" s="206"/>
      <c r="NTW67" s="128" t="s">
        <v>24</v>
      </c>
      <c r="NTX67" s="129">
        <v>8150</v>
      </c>
      <c r="NTY67" s="137">
        <v>85</v>
      </c>
      <c r="NTZ67" s="138">
        <v>215</v>
      </c>
      <c r="NUA67" s="138">
        <v>75</v>
      </c>
      <c r="NUB67" s="137">
        <v>150</v>
      </c>
      <c r="NUC67" s="139">
        <f>SUM(NTX67:NUB67)</f>
        <v>8675</v>
      </c>
      <c r="NUD67" s="137">
        <v>200</v>
      </c>
      <c r="NUE67" s="139">
        <f>SUM(NUC67:NUD67)</f>
        <v>8875</v>
      </c>
      <c r="NUF67" s="132" t="s">
        <v>113</v>
      </c>
      <c r="NUG67" s="133">
        <v>45845</v>
      </c>
      <c r="NUH67" s="128" t="s">
        <v>41</v>
      </c>
      <c r="NUI67" s="207"/>
      <c r="NUJ67" s="134" t="s">
        <v>136</v>
      </c>
      <c r="NUK67" s="205"/>
      <c r="NUL67" s="206"/>
      <c r="NUM67" s="128" t="s">
        <v>24</v>
      </c>
      <c r="NUN67" s="129">
        <v>8150</v>
      </c>
      <c r="NUO67" s="137">
        <v>85</v>
      </c>
      <c r="NUP67" s="138">
        <v>215</v>
      </c>
      <c r="NUQ67" s="138">
        <v>75</v>
      </c>
      <c r="NUR67" s="137">
        <v>150</v>
      </c>
      <c r="NUS67" s="139">
        <f>SUM(NUN67:NUR67)</f>
        <v>8675</v>
      </c>
      <c r="NUT67" s="137">
        <v>200</v>
      </c>
      <c r="NUU67" s="139">
        <f>SUM(NUS67:NUT67)</f>
        <v>8875</v>
      </c>
      <c r="NUV67" s="132" t="s">
        <v>113</v>
      </c>
      <c r="NUW67" s="133">
        <v>45845</v>
      </c>
      <c r="NUX67" s="128" t="s">
        <v>41</v>
      </c>
      <c r="NUY67" s="207"/>
      <c r="NUZ67" s="134" t="s">
        <v>136</v>
      </c>
      <c r="NVA67" s="205"/>
      <c r="NVB67" s="206"/>
      <c r="NVC67" s="128" t="s">
        <v>24</v>
      </c>
      <c r="NVD67" s="129">
        <v>8150</v>
      </c>
      <c r="NVE67" s="137">
        <v>85</v>
      </c>
      <c r="NVF67" s="138">
        <v>215</v>
      </c>
      <c r="NVG67" s="138">
        <v>75</v>
      </c>
      <c r="NVH67" s="137">
        <v>150</v>
      </c>
      <c r="NVI67" s="139">
        <f>SUM(NVD67:NVH67)</f>
        <v>8675</v>
      </c>
      <c r="NVJ67" s="137">
        <v>200</v>
      </c>
      <c r="NVK67" s="139">
        <f>SUM(NVI67:NVJ67)</f>
        <v>8875</v>
      </c>
      <c r="NVL67" s="132" t="s">
        <v>113</v>
      </c>
      <c r="NVM67" s="133">
        <v>45845</v>
      </c>
      <c r="NVN67" s="128" t="s">
        <v>41</v>
      </c>
      <c r="NVO67" s="207"/>
      <c r="NVP67" s="134" t="s">
        <v>136</v>
      </c>
      <c r="NVQ67" s="205"/>
      <c r="NVR67" s="206"/>
      <c r="NVS67" s="128" t="s">
        <v>24</v>
      </c>
      <c r="NVT67" s="129">
        <v>8150</v>
      </c>
      <c r="NVU67" s="137">
        <v>85</v>
      </c>
      <c r="NVV67" s="138">
        <v>215</v>
      </c>
      <c r="NVW67" s="138">
        <v>75</v>
      </c>
      <c r="NVX67" s="137">
        <v>150</v>
      </c>
      <c r="NVY67" s="139">
        <f>SUM(NVT67:NVX67)</f>
        <v>8675</v>
      </c>
      <c r="NVZ67" s="137">
        <v>200</v>
      </c>
      <c r="NWA67" s="139">
        <f>SUM(NVY67:NVZ67)</f>
        <v>8875</v>
      </c>
      <c r="NWB67" s="132" t="s">
        <v>113</v>
      </c>
      <c r="NWC67" s="133">
        <v>45845</v>
      </c>
      <c r="NWD67" s="128" t="s">
        <v>41</v>
      </c>
      <c r="NWE67" s="207"/>
      <c r="NWF67" s="134" t="s">
        <v>136</v>
      </c>
      <c r="NWG67" s="205"/>
      <c r="NWH67" s="206"/>
      <c r="NWI67" s="128" t="s">
        <v>24</v>
      </c>
      <c r="NWJ67" s="129">
        <v>8150</v>
      </c>
      <c r="NWK67" s="137">
        <v>85</v>
      </c>
      <c r="NWL67" s="138">
        <v>215</v>
      </c>
      <c r="NWM67" s="138">
        <v>75</v>
      </c>
      <c r="NWN67" s="137">
        <v>150</v>
      </c>
      <c r="NWO67" s="139">
        <f>SUM(NWJ67:NWN67)</f>
        <v>8675</v>
      </c>
      <c r="NWP67" s="137">
        <v>200</v>
      </c>
      <c r="NWQ67" s="139">
        <f>SUM(NWO67:NWP67)</f>
        <v>8875</v>
      </c>
      <c r="NWR67" s="132" t="s">
        <v>113</v>
      </c>
      <c r="NWS67" s="133">
        <v>45845</v>
      </c>
      <c r="NWT67" s="128" t="s">
        <v>41</v>
      </c>
      <c r="NWU67" s="207"/>
      <c r="NWV67" s="134" t="s">
        <v>136</v>
      </c>
      <c r="NWW67" s="205"/>
      <c r="NWX67" s="206"/>
      <c r="NWY67" s="128" t="s">
        <v>24</v>
      </c>
      <c r="NWZ67" s="129">
        <v>8150</v>
      </c>
      <c r="NXA67" s="137">
        <v>85</v>
      </c>
      <c r="NXB67" s="138">
        <v>215</v>
      </c>
      <c r="NXC67" s="138">
        <v>75</v>
      </c>
      <c r="NXD67" s="137">
        <v>150</v>
      </c>
      <c r="NXE67" s="139">
        <f>SUM(NWZ67:NXD67)</f>
        <v>8675</v>
      </c>
      <c r="NXF67" s="137">
        <v>200</v>
      </c>
      <c r="NXG67" s="139">
        <f>SUM(NXE67:NXF67)</f>
        <v>8875</v>
      </c>
      <c r="NXH67" s="132" t="s">
        <v>113</v>
      </c>
      <c r="NXI67" s="133">
        <v>45845</v>
      </c>
      <c r="NXJ67" s="128" t="s">
        <v>41</v>
      </c>
      <c r="NXK67" s="207"/>
      <c r="NXL67" s="134" t="s">
        <v>136</v>
      </c>
      <c r="NXM67" s="205"/>
      <c r="NXN67" s="206"/>
      <c r="NXO67" s="128" t="s">
        <v>24</v>
      </c>
      <c r="NXP67" s="129">
        <v>8150</v>
      </c>
      <c r="NXQ67" s="137">
        <v>85</v>
      </c>
      <c r="NXR67" s="138">
        <v>215</v>
      </c>
      <c r="NXS67" s="138">
        <v>75</v>
      </c>
      <c r="NXT67" s="137">
        <v>150</v>
      </c>
      <c r="NXU67" s="139">
        <f>SUM(NXP67:NXT67)</f>
        <v>8675</v>
      </c>
      <c r="NXV67" s="137">
        <v>200</v>
      </c>
      <c r="NXW67" s="139">
        <f>SUM(NXU67:NXV67)</f>
        <v>8875</v>
      </c>
      <c r="NXX67" s="132" t="s">
        <v>113</v>
      </c>
      <c r="NXY67" s="133">
        <v>45845</v>
      </c>
      <c r="NXZ67" s="128" t="s">
        <v>41</v>
      </c>
      <c r="NYA67" s="207"/>
      <c r="NYB67" s="134" t="s">
        <v>136</v>
      </c>
      <c r="NYC67" s="205"/>
      <c r="NYD67" s="206"/>
      <c r="NYE67" s="128" t="s">
        <v>24</v>
      </c>
      <c r="NYF67" s="129">
        <v>8150</v>
      </c>
      <c r="NYG67" s="137">
        <v>85</v>
      </c>
      <c r="NYH67" s="138">
        <v>215</v>
      </c>
      <c r="NYI67" s="138">
        <v>75</v>
      </c>
      <c r="NYJ67" s="137">
        <v>150</v>
      </c>
      <c r="NYK67" s="139">
        <f>SUM(NYF67:NYJ67)</f>
        <v>8675</v>
      </c>
      <c r="NYL67" s="137">
        <v>200</v>
      </c>
      <c r="NYM67" s="139">
        <f>SUM(NYK67:NYL67)</f>
        <v>8875</v>
      </c>
      <c r="NYN67" s="132" t="s">
        <v>113</v>
      </c>
      <c r="NYO67" s="133">
        <v>45845</v>
      </c>
      <c r="NYP67" s="128" t="s">
        <v>41</v>
      </c>
      <c r="NYQ67" s="207"/>
      <c r="NYR67" s="134" t="s">
        <v>136</v>
      </c>
      <c r="NYS67" s="205"/>
      <c r="NYT67" s="206"/>
      <c r="NYU67" s="128" t="s">
        <v>24</v>
      </c>
      <c r="NYV67" s="129">
        <v>8150</v>
      </c>
      <c r="NYW67" s="137">
        <v>85</v>
      </c>
      <c r="NYX67" s="138">
        <v>215</v>
      </c>
      <c r="NYY67" s="138">
        <v>75</v>
      </c>
      <c r="NYZ67" s="137">
        <v>150</v>
      </c>
      <c r="NZA67" s="139">
        <f>SUM(NYV67:NYZ67)</f>
        <v>8675</v>
      </c>
      <c r="NZB67" s="137">
        <v>200</v>
      </c>
      <c r="NZC67" s="139">
        <f>SUM(NZA67:NZB67)</f>
        <v>8875</v>
      </c>
      <c r="NZD67" s="132" t="s">
        <v>113</v>
      </c>
      <c r="NZE67" s="133">
        <v>45845</v>
      </c>
      <c r="NZF67" s="128" t="s">
        <v>41</v>
      </c>
      <c r="NZG67" s="207"/>
      <c r="NZH67" s="134" t="s">
        <v>136</v>
      </c>
      <c r="NZI67" s="205"/>
      <c r="NZJ67" s="206"/>
      <c r="NZK67" s="128" t="s">
        <v>24</v>
      </c>
      <c r="NZL67" s="129">
        <v>8150</v>
      </c>
      <c r="NZM67" s="137">
        <v>85</v>
      </c>
      <c r="NZN67" s="138">
        <v>215</v>
      </c>
      <c r="NZO67" s="138">
        <v>75</v>
      </c>
      <c r="NZP67" s="137">
        <v>150</v>
      </c>
      <c r="NZQ67" s="139">
        <f>SUM(NZL67:NZP67)</f>
        <v>8675</v>
      </c>
      <c r="NZR67" s="137">
        <v>200</v>
      </c>
      <c r="NZS67" s="139">
        <f>SUM(NZQ67:NZR67)</f>
        <v>8875</v>
      </c>
      <c r="NZT67" s="132" t="s">
        <v>113</v>
      </c>
      <c r="NZU67" s="133">
        <v>45845</v>
      </c>
      <c r="NZV67" s="128" t="s">
        <v>41</v>
      </c>
      <c r="NZW67" s="207"/>
      <c r="NZX67" s="134" t="s">
        <v>136</v>
      </c>
      <c r="NZY67" s="205"/>
      <c r="NZZ67" s="206"/>
      <c r="OAA67" s="128" t="s">
        <v>24</v>
      </c>
      <c r="OAB67" s="129">
        <v>8150</v>
      </c>
      <c r="OAC67" s="137">
        <v>85</v>
      </c>
      <c r="OAD67" s="138">
        <v>215</v>
      </c>
      <c r="OAE67" s="138">
        <v>75</v>
      </c>
      <c r="OAF67" s="137">
        <v>150</v>
      </c>
      <c r="OAG67" s="139">
        <f>SUM(OAB67:OAF67)</f>
        <v>8675</v>
      </c>
      <c r="OAH67" s="137">
        <v>200</v>
      </c>
      <c r="OAI67" s="139">
        <f>SUM(OAG67:OAH67)</f>
        <v>8875</v>
      </c>
      <c r="OAJ67" s="132" t="s">
        <v>113</v>
      </c>
      <c r="OAK67" s="133">
        <v>45845</v>
      </c>
      <c r="OAL67" s="128" t="s">
        <v>41</v>
      </c>
      <c r="OAM67" s="207"/>
      <c r="OAN67" s="134" t="s">
        <v>136</v>
      </c>
      <c r="OAO67" s="205"/>
      <c r="OAP67" s="206"/>
      <c r="OAQ67" s="128" t="s">
        <v>24</v>
      </c>
      <c r="OAR67" s="129">
        <v>8150</v>
      </c>
      <c r="OAS67" s="137">
        <v>85</v>
      </c>
      <c r="OAT67" s="138">
        <v>215</v>
      </c>
      <c r="OAU67" s="138">
        <v>75</v>
      </c>
      <c r="OAV67" s="137">
        <v>150</v>
      </c>
      <c r="OAW67" s="139">
        <f>SUM(OAR67:OAV67)</f>
        <v>8675</v>
      </c>
      <c r="OAX67" s="137">
        <v>200</v>
      </c>
      <c r="OAY67" s="139">
        <f>SUM(OAW67:OAX67)</f>
        <v>8875</v>
      </c>
      <c r="OAZ67" s="132" t="s">
        <v>113</v>
      </c>
      <c r="OBA67" s="133">
        <v>45845</v>
      </c>
      <c r="OBB67" s="128" t="s">
        <v>41</v>
      </c>
      <c r="OBC67" s="207"/>
      <c r="OBD67" s="134" t="s">
        <v>136</v>
      </c>
      <c r="OBE67" s="205"/>
      <c r="OBF67" s="206"/>
      <c r="OBG67" s="128" t="s">
        <v>24</v>
      </c>
      <c r="OBH67" s="129">
        <v>8150</v>
      </c>
      <c r="OBI67" s="137">
        <v>85</v>
      </c>
      <c r="OBJ67" s="138">
        <v>215</v>
      </c>
      <c r="OBK67" s="138">
        <v>75</v>
      </c>
      <c r="OBL67" s="137">
        <v>150</v>
      </c>
      <c r="OBM67" s="139">
        <f>SUM(OBH67:OBL67)</f>
        <v>8675</v>
      </c>
      <c r="OBN67" s="137">
        <v>200</v>
      </c>
      <c r="OBO67" s="139">
        <f>SUM(OBM67:OBN67)</f>
        <v>8875</v>
      </c>
      <c r="OBP67" s="132" t="s">
        <v>113</v>
      </c>
      <c r="OBQ67" s="133">
        <v>45845</v>
      </c>
      <c r="OBR67" s="128" t="s">
        <v>41</v>
      </c>
      <c r="OBS67" s="207"/>
      <c r="OBT67" s="134" t="s">
        <v>136</v>
      </c>
      <c r="OBU67" s="205"/>
      <c r="OBV67" s="206"/>
      <c r="OBW67" s="128" t="s">
        <v>24</v>
      </c>
      <c r="OBX67" s="129">
        <v>8150</v>
      </c>
      <c r="OBY67" s="137">
        <v>85</v>
      </c>
      <c r="OBZ67" s="138">
        <v>215</v>
      </c>
      <c r="OCA67" s="138">
        <v>75</v>
      </c>
      <c r="OCB67" s="137">
        <v>150</v>
      </c>
      <c r="OCC67" s="139">
        <f>SUM(OBX67:OCB67)</f>
        <v>8675</v>
      </c>
      <c r="OCD67" s="137">
        <v>200</v>
      </c>
      <c r="OCE67" s="139">
        <f>SUM(OCC67:OCD67)</f>
        <v>8875</v>
      </c>
      <c r="OCF67" s="132" t="s">
        <v>113</v>
      </c>
      <c r="OCG67" s="133">
        <v>45845</v>
      </c>
      <c r="OCH67" s="128" t="s">
        <v>41</v>
      </c>
      <c r="OCI67" s="207"/>
      <c r="OCJ67" s="134" t="s">
        <v>136</v>
      </c>
      <c r="OCK67" s="205"/>
      <c r="OCL67" s="206"/>
      <c r="OCM67" s="128" t="s">
        <v>24</v>
      </c>
      <c r="OCN67" s="129">
        <v>8150</v>
      </c>
      <c r="OCO67" s="137">
        <v>85</v>
      </c>
      <c r="OCP67" s="138">
        <v>215</v>
      </c>
      <c r="OCQ67" s="138">
        <v>75</v>
      </c>
      <c r="OCR67" s="137">
        <v>150</v>
      </c>
      <c r="OCS67" s="139">
        <f>SUM(OCN67:OCR67)</f>
        <v>8675</v>
      </c>
      <c r="OCT67" s="137">
        <v>200</v>
      </c>
      <c r="OCU67" s="139">
        <f>SUM(OCS67:OCT67)</f>
        <v>8875</v>
      </c>
      <c r="OCV67" s="132" t="s">
        <v>113</v>
      </c>
      <c r="OCW67" s="133">
        <v>45845</v>
      </c>
      <c r="OCX67" s="128" t="s">
        <v>41</v>
      </c>
      <c r="OCY67" s="207"/>
      <c r="OCZ67" s="134" t="s">
        <v>136</v>
      </c>
      <c r="ODA67" s="205"/>
      <c r="ODB67" s="206"/>
      <c r="ODC67" s="128" t="s">
        <v>24</v>
      </c>
      <c r="ODD67" s="129">
        <v>8150</v>
      </c>
      <c r="ODE67" s="137">
        <v>85</v>
      </c>
      <c r="ODF67" s="138">
        <v>215</v>
      </c>
      <c r="ODG67" s="138">
        <v>75</v>
      </c>
      <c r="ODH67" s="137">
        <v>150</v>
      </c>
      <c r="ODI67" s="139">
        <f>SUM(ODD67:ODH67)</f>
        <v>8675</v>
      </c>
      <c r="ODJ67" s="137">
        <v>200</v>
      </c>
      <c r="ODK67" s="139">
        <f>SUM(ODI67:ODJ67)</f>
        <v>8875</v>
      </c>
      <c r="ODL67" s="132" t="s">
        <v>113</v>
      </c>
      <c r="ODM67" s="133">
        <v>45845</v>
      </c>
      <c r="ODN67" s="128" t="s">
        <v>41</v>
      </c>
      <c r="ODO67" s="207"/>
      <c r="ODP67" s="134" t="s">
        <v>136</v>
      </c>
      <c r="ODQ67" s="205"/>
      <c r="ODR67" s="206"/>
      <c r="ODS67" s="128" t="s">
        <v>24</v>
      </c>
      <c r="ODT67" s="129">
        <v>8150</v>
      </c>
      <c r="ODU67" s="137">
        <v>85</v>
      </c>
      <c r="ODV67" s="138">
        <v>215</v>
      </c>
      <c r="ODW67" s="138">
        <v>75</v>
      </c>
      <c r="ODX67" s="137">
        <v>150</v>
      </c>
      <c r="ODY67" s="139">
        <f>SUM(ODT67:ODX67)</f>
        <v>8675</v>
      </c>
      <c r="ODZ67" s="137">
        <v>200</v>
      </c>
      <c r="OEA67" s="139">
        <f>SUM(ODY67:ODZ67)</f>
        <v>8875</v>
      </c>
      <c r="OEB67" s="132" t="s">
        <v>113</v>
      </c>
      <c r="OEC67" s="133">
        <v>45845</v>
      </c>
      <c r="OED67" s="128" t="s">
        <v>41</v>
      </c>
      <c r="OEE67" s="207"/>
      <c r="OEF67" s="134" t="s">
        <v>136</v>
      </c>
      <c r="OEG67" s="205"/>
      <c r="OEH67" s="206"/>
      <c r="OEI67" s="128" t="s">
        <v>24</v>
      </c>
      <c r="OEJ67" s="129">
        <v>8150</v>
      </c>
      <c r="OEK67" s="137">
        <v>85</v>
      </c>
      <c r="OEL67" s="138">
        <v>215</v>
      </c>
      <c r="OEM67" s="138">
        <v>75</v>
      </c>
      <c r="OEN67" s="137">
        <v>150</v>
      </c>
      <c r="OEO67" s="139">
        <f>SUM(OEJ67:OEN67)</f>
        <v>8675</v>
      </c>
      <c r="OEP67" s="137">
        <v>200</v>
      </c>
      <c r="OEQ67" s="139">
        <f>SUM(OEO67:OEP67)</f>
        <v>8875</v>
      </c>
      <c r="OER67" s="132" t="s">
        <v>113</v>
      </c>
      <c r="OES67" s="133">
        <v>45845</v>
      </c>
      <c r="OET67" s="128" t="s">
        <v>41</v>
      </c>
      <c r="OEU67" s="207"/>
      <c r="OEV67" s="134" t="s">
        <v>136</v>
      </c>
      <c r="OEW67" s="205"/>
      <c r="OEX67" s="206"/>
      <c r="OEY67" s="128" t="s">
        <v>24</v>
      </c>
      <c r="OEZ67" s="129">
        <v>8150</v>
      </c>
      <c r="OFA67" s="137">
        <v>85</v>
      </c>
      <c r="OFB67" s="138">
        <v>215</v>
      </c>
      <c r="OFC67" s="138">
        <v>75</v>
      </c>
      <c r="OFD67" s="137">
        <v>150</v>
      </c>
      <c r="OFE67" s="139">
        <f>SUM(OEZ67:OFD67)</f>
        <v>8675</v>
      </c>
      <c r="OFF67" s="137">
        <v>200</v>
      </c>
      <c r="OFG67" s="139">
        <f>SUM(OFE67:OFF67)</f>
        <v>8875</v>
      </c>
      <c r="OFH67" s="132" t="s">
        <v>113</v>
      </c>
      <c r="OFI67" s="133">
        <v>45845</v>
      </c>
      <c r="OFJ67" s="128" t="s">
        <v>41</v>
      </c>
      <c r="OFK67" s="207"/>
      <c r="OFL67" s="134" t="s">
        <v>136</v>
      </c>
      <c r="OFM67" s="205"/>
      <c r="OFN67" s="206"/>
      <c r="OFO67" s="128" t="s">
        <v>24</v>
      </c>
      <c r="OFP67" s="129">
        <v>8150</v>
      </c>
      <c r="OFQ67" s="137">
        <v>85</v>
      </c>
      <c r="OFR67" s="138">
        <v>215</v>
      </c>
      <c r="OFS67" s="138">
        <v>75</v>
      </c>
      <c r="OFT67" s="137">
        <v>150</v>
      </c>
      <c r="OFU67" s="139">
        <f>SUM(OFP67:OFT67)</f>
        <v>8675</v>
      </c>
      <c r="OFV67" s="137">
        <v>200</v>
      </c>
      <c r="OFW67" s="139">
        <f>SUM(OFU67:OFV67)</f>
        <v>8875</v>
      </c>
      <c r="OFX67" s="132" t="s">
        <v>113</v>
      </c>
      <c r="OFY67" s="133">
        <v>45845</v>
      </c>
      <c r="OFZ67" s="128" t="s">
        <v>41</v>
      </c>
      <c r="OGA67" s="207"/>
      <c r="OGB67" s="134" t="s">
        <v>136</v>
      </c>
      <c r="OGC67" s="205"/>
      <c r="OGD67" s="206"/>
      <c r="OGE67" s="128" t="s">
        <v>24</v>
      </c>
      <c r="OGF67" s="129">
        <v>8150</v>
      </c>
      <c r="OGG67" s="137">
        <v>85</v>
      </c>
      <c r="OGH67" s="138">
        <v>215</v>
      </c>
      <c r="OGI67" s="138">
        <v>75</v>
      </c>
      <c r="OGJ67" s="137">
        <v>150</v>
      </c>
      <c r="OGK67" s="139">
        <f>SUM(OGF67:OGJ67)</f>
        <v>8675</v>
      </c>
      <c r="OGL67" s="137">
        <v>200</v>
      </c>
      <c r="OGM67" s="139">
        <f>SUM(OGK67:OGL67)</f>
        <v>8875</v>
      </c>
      <c r="OGN67" s="132" t="s">
        <v>113</v>
      </c>
      <c r="OGO67" s="133">
        <v>45845</v>
      </c>
      <c r="OGP67" s="128" t="s">
        <v>41</v>
      </c>
      <c r="OGQ67" s="207"/>
      <c r="OGR67" s="134" t="s">
        <v>136</v>
      </c>
      <c r="OGS67" s="205"/>
      <c r="OGT67" s="206"/>
      <c r="OGU67" s="128" t="s">
        <v>24</v>
      </c>
      <c r="OGV67" s="129">
        <v>8150</v>
      </c>
      <c r="OGW67" s="137">
        <v>85</v>
      </c>
      <c r="OGX67" s="138">
        <v>215</v>
      </c>
      <c r="OGY67" s="138">
        <v>75</v>
      </c>
      <c r="OGZ67" s="137">
        <v>150</v>
      </c>
      <c r="OHA67" s="139">
        <f>SUM(OGV67:OGZ67)</f>
        <v>8675</v>
      </c>
      <c r="OHB67" s="137">
        <v>200</v>
      </c>
      <c r="OHC67" s="139">
        <f>SUM(OHA67:OHB67)</f>
        <v>8875</v>
      </c>
      <c r="OHD67" s="132" t="s">
        <v>113</v>
      </c>
      <c r="OHE67" s="133">
        <v>45845</v>
      </c>
      <c r="OHF67" s="128" t="s">
        <v>41</v>
      </c>
      <c r="OHG67" s="207"/>
      <c r="OHH67" s="134" t="s">
        <v>136</v>
      </c>
      <c r="OHI67" s="205"/>
      <c r="OHJ67" s="206"/>
      <c r="OHK67" s="128" t="s">
        <v>24</v>
      </c>
      <c r="OHL67" s="129">
        <v>8150</v>
      </c>
      <c r="OHM67" s="137">
        <v>85</v>
      </c>
      <c r="OHN67" s="138">
        <v>215</v>
      </c>
      <c r="OHO67" s="138">
        <v>75</v>
      </c>
      <c r="OHP67" s="137">
        <v>150</v>
      </c>
      <c r="OHQ67" s="139">
        <f>SUM(OHL67:OHP67)</f>
        <v>8675</v>
      </c>
      <c r="OHR67" s="137">
        <v>200</v>
      </c>
      <c r="OHS67" s="139">
        <f>SUM(OHQ67:OHR67)</f>
        <v>8875</v>
      </c>
      <c r="OHT67" s="132" t="s">
        <v>113</v>
      </c>
      <c r="OHU67" s="133">
        <v>45845</v>
      </c>
      <c r="OHV67" s="128" t="s">
        <v>41</v>
      </c>
      <c r="OHW67" s="207"/>
      <c r="OHX67" s="134" t="s">
        <v>136</v>
      </c>
      <c r="OHY67" s="205"/>
      <c r="OHZ67" s="206"/>
      <c r="OIA67" s="128" t="s">
        <v>24</v>
      </c>
      <c r="OIB67" s="129">
        <v>8150</v>
      </c>
      <c r="OIC67" s="137">
        <v>85</v>
      </c>
      <c r="OID67" s="138">
        <v>215</v>
      </c>
      <c r="OIE67" s="138">
        <v>75</v>
      </c>
      <c r="OIF67" s="137">
        <v>150</v>
      </c>
      <c r="OIG67" s="139">
        <f>SUM(OIB67:OIF67)</f>
        <v>8675</v>
      </c>
      <c r="OIH67" s="137">
        <v>200</v>
      </c>
      <c r="OII67" s="139">
        <f>SUM(OIG67:OIH67)</f>
        <v>8875</v>
      </c>
      <c r="OIJ67" s="132" t="s">
        <v>113</v>
      </c>
      <c r="OIK67" s="133">
        <v>45845</v>
      </c>
      <c r="OIL67" s="128" t="s">
        <v>41</v>
      </c>
      <c r="OIM67" s="207"/>
      <c r="OIN67" s="134" t="s">
        <v>136</v>
      </c>
      <c r="OIO67" s="205"/>
      <c r="OIP67" s="206"/>
      <c r="OIQ67" s="128" t="s">
        <v>24</v>
      </c>
      <c r="OIR67" s="129">
        <v>8150</v>
      </c>
      <c r="OIS67" s="137">
        <v>85</v>
      </c>
      <c r="OIT67" s="138">
        <v>215</v>
      </c>
      <c r="OIU67" s="138">
        <v>75</v>
      </c>
      <c r="OIV67" s="137">
        <v>150</v>
      </c>
      <c r="OIW67" s="139">
        <f>SUM(OIR67:OIV67)</f>
        <v>8675</v>
      </c>
      <c r="OIX67" s="137">
        <v>200</v>
      </c>
      <c r="OIY67" s="139">
        <f>SUM(OIW67:OIX67)</f>
        <v>8875</v>
      </c>
      <c r="OIZ67" s="132" t="s">
        <v>113</v>
      </c>
      <c r="OJA67" s="133">
        <v>45845</v>
      </c>
      <c r="OJB67" s="128" t="s">
        <v>41</v>
      </c>
      <c r="OJC67" s="207"/>
      <c r="OJD67" s="134" t="s">
        <v>136</v>
      </c>
      <c r="OJE67" s="205"/>
      <c r="OJF67" s="206"/>
      <c r="OJG67" s="128" t="s">
        <v>24</v>
      </c>
      <c r="OJH67" s="129">
        <v>8150</v>
      </c>
      <c r="OJI67" s="137">
        <v>85</v>
      </c>
      <c r="OJJ67" s="138">
        <v>215</v>
      </c>
      <c r="OJK67" s="138">
        <v>75</v>
      </c>
      <c r="OJL67" s="137">
        <v>150</v>
      </c>
      <c r="OJM67" s="139">
        <f>SUM(OJH67:OJL67)</f>
        <v>8675</v>
      </c>
      <c r="OJN67" s="137">
        <v>200</v>
      </c>
      <c r="OJO67" s="139">
        <f>SUM(OJM67:OJN67)</f>
        <v>8875</v>
      </c>
      <c r="OJP67" s="132" t="s">
        <v>113</v>
      </c>
      <c r="OJQ67" s="133">
        <v>45845</v>
      </c>
      <c r="OJR67" s="128" t="s">
        <v>41</v>
      </c>
      <c r="OJS67" s="207"/>
      <c r="OJT67" s="134" t="s">
        <v>136</v>
      </c>
      <c r="OJU67" s="205"/>
      <c r="OJV67" s="206"/>
      <c r="OJW67" s="128" t="s">
        <v>24</v>
      </c>
      <c r="OJX67" s="129">
        <v>8150</v>
      </c>
      <c r="OJY67" s="137">
        <v>85</v>
      </c>
      <c r="OJZ67" s="138">
        <v>215</v>
      </c>
      <c r="OKA67" s="138">
        <v>75</v>
      </c>
      <c r="OKB67" s="137">
        <v>150</v>
      </c>
      <c r="OKC67" s="139">
        <f>SUM(OJX67:OKB67)</f>
        <v>8675</v>
      </c>
      <c r="OKD67" s="137">
        <v>200</v>
      </c>
      <c r="OKE67" s="139">
        <f>SUM(OKC67:OKD67)</f>
        <v>8875</v>
      </c>
      <c r="OKF67" s="132" t="s">
        <v>113</v>
      </c>
      <c r="OKG67" s="133">
        <v>45845</v>
      </c>
      <c r="OKH67" s="128" t="s">
        <v>41</v>
      </c>
      <c r="OKI67" s="207"/>
      <c r="OKJ67" s="134" t="s">
        <v>136</v>
      </c>
      <c r="OKK67" s="205"/>
      <c r="OKL67" s="206"/>
      <c r="OKM67" s="128" t="s">
        <v>24</v>
      </c>
      <c r="OKN67" s="129">
        <v>8150</v>
      </c>
      <c r="OKO67" s="137">
        <v>85</v>
      </c>
      <c r="OKP67" s="138">
        <v>215</v>
      </c>
      <c r="OKQ67" s="138">
        <v>75</v>
      </c>
      <c r="OKR67" s="137">
        <v>150</v>
      </c>
      <c r="OKS67" s="139">
        <f>SUM(OKN67:OKR67)</f>
        <v>8675</v>
      </c>
      <c r="OKT67" s="137">
        <v>200</v>
      </c>
      <c r="OKU67" s="139">
        <f>SUM(OKS67:OKT67)</f>
        <v>8875</v>
      </c>
      <c r="OKV67" s="132" t="s">
        <v>113</v>
      </c>
      <c r="OKW67" s="133">
        <v>45845</v>
      </c>
      <c r="OKX67" s="128" t="s">
        <v>41</v>
      </c>
      <c r="OKY67" s="207"/>
      <c r="OKZ67" s="134" t="s">
        <v>136</v>
      </c>
      <c r="OLA67" s="205"/>
      <c r="OLB67" s="206"/>
      <c r="OLC67" s="128" t="s">
        <v>24</v>
      </c>
      <c r="OLD67" s="129">
        <v>8150</v>
      </c>
      <c r="OLE67" s="137">
        <v>85</v>
      </c>
      <c r="OLF67" s="138">
        <v>215</v>
      </c>
      <c r="OLG67" s="138">
        <v>75</v>
      </c>
      <c r="OLH67" s="137">
        <v>150</v>
      </c>
      <c r="OLI67" s="139">
        <f>SUM(OLD67:OLH67)</f>
        <v>8675</v>
      </c>
      <c r="OLJ67" s="137">
        <v>200</v>
      </c>
      <c r="OLK67" s="139">
        <f>SUM(OLI67:OLJ67)</f>
        <v>8875</v>
      </c>
      <c r="OLL67" s="132" t="s">
        <v>113</v>
      </c>
      <c r="OLM67" s="133">
        <v>45845</v>
      </c>
      <c r="OLN67" s="128" t="s">
        <v>41</v>
      </c>
      <c r="OLO67" s="207"/>
      <c r="OLP67" s="134" t="s">
        <v>136</v>
      </c>
      <c r="OLQ67" s="205"/>
      <c r="OLR67" s="206"/>
      <c r="OLS67" s="128" t="s">
        <v>24</v>
      </c>
      <c r="OLT67" s="129">
        <v>8150</v>
      </c>
      <c r="OLU67" s="137">
        <v>85</v>
      </c>
      <c r="OLV67" s="138">
        <v>215</v>
      </c>
      <c r="OLW67" s="138">
        <v>75</v>
      </c>
      <c r="OLX67" s="137">
        <v>150</v>
      </c>
      <c r="OLY67" s="139">
        <f>SUM(OLT67:OLX67)</f>
        <v>8675</v>
      </c>
      <c r="OLZ67" s="137">
        <v>200</v>
      </c>
      <c r="OMA67" s="139">
        <f>SUM(OLY67:OLZ67)</f>
        <v>8875</v>
      </c>
      <c r="OMB67" s="132" t="s">
        <v>113</v>
      </c>
      <c r="OMC67" s="133">
        <v>45845</v>
      </c>
      <c r="OMD67" s="128" t="s">
        <v>41</v>
      </c>
      <c r="OME67" s="207"/>
      <c r="OMF67" s="134" t="s">
        <v>136</v>
      </c>
      <c r="OMG67" s="205"/>
      <c r="OMH67" s="206"/>
      <c r="OMI67" s="128" t="s">
        <v>24</v>
      </c>
      <c r="OMJ67" s="129">
        <v>8150</v>
      </c>
      <c r="OMK67" s="137">
        <v>85</v>
      </c>
      <c r="OML67" s="138">
        <v>215</v>
      </c>
      <c r="OMM67" s="138">
        <v>75</v>
      </c>
      <c r="OMN67" s="137">
        <v>150</v>
      </c>
      <c r="OMO67" s="139">
        <f>SUM(OMJ67:OMN67)</f>
        <v>8675</v>
      </c>
      <c r="OMP67" s="137">
        <v>200</v>
      </c>
      <c r="OMQ67" s="139">
        <f>SUM(OMO67:OMP67)</f>
        <v>8875</v>
      </c>
      <c r="OMR67" s="132" t="s">
        <v>113</v>
      </c>
      <c r="OMS67" s="133">
        <v>45845</v>
      </c>
      <c r="OMT67" s="128" t="s">
        <v>41</v>
      </c>
      <c r="OMU67" s="207"/>
      <c r="OMV67" s="134" t="s">
        <v>136</v>
      </c>
      <c r="OMW67" s="205"/>
      <c r="OMX67" s="206"/>
      <c r="OMY67" s="128" t="s">
        <v>24</v>
      </c>
      <c r="OMZ67" s="129">
        <v>8150</v>
      </c>
      <c r="ONA67" s="137">
        <v>85</v>
      </c>
      <c r="ONB67" s="138">
        <v>215</v>
      </c>
      <c r="ONC67" s="138">
        <v>75</v>
      </c>
      <c r="OND67" s="137">
        <v>150</v>
      </c>
      <c r="ONE67" s="139">
        <f>SUM(OMZ67:OND67)</f>
        <v>8675</v>
      </c>
      <c r="ONF67" s="137">
        <v>200</v>
      </c>
      <c r="ONG67" s="139">
        <f>SUM(ONE67:ONF67)</f>
        <v>8875</v>
      </c>
      <c r="ONH67" s="132" t="s">
        <v>113</v>
      </c>
      <c r="ONI67" s="133">
        <v>45845</v>
      </c>
      <c r="ONJ67" s="128" t="s">
        <v>41</v>
      </c>
      <c r="ONK67" s="207"/>
      <c r="ONL67" s="134" t="s">
        <v>136</v>
      </c>
      <c r="ONM67" s="205"/>
      <c r="ONN67" s="206"/>
      <c r="ONO67" s="128" t="s">
        <v>24</v>
      </c>
      <c r="ONP67" s="129">
        <v>8150</v>
      </c>
      <c r="ONQ67" s="137">
        <v>85</v>
      </c>
      <c r="ONR67" s="138">
        <v>215</v>
      </c>
      <c r="ONS67" s="138">
        <v>75</v>
      </c>
      <c r="ONT67" s="137">
        <v>150</v>
      </c>
      <c r="ONU67" s="139">
        <f>SUM(ONP67:ONT67)</f>
        <v>8675</v>
      </c>
      <c r="ONV67" s="137">
        <v>200</v>
      </c>
      <c r="ONW67" s="139">
        <f>SUM(ONU67:ONV67)</f>
        <v>8875</v>
      </c>
      <c r="ONX67" s="132" t="s">
        <v>113</v>
      </c>
      <c r="ONY67" s="133">
        <v>45845</v>
      </c>
      <c r="ONZ67" s="128" t="s">
        <v>41</v>
      </c>
      <c r="OOA67" s="207"/>
      <c r="OOB67" s="134" t="s">
        <v>136</v>
      </c>
      <c r="OOC67" s="205"/>
      <c r="OOD67" s="206"/>
      <c r="OOE67" s="128" t="s">
        <v>24</v>
      </c>
      <c r="OOF67" s="129">
        <v>8150</v>
      </c>
      <c r="OOG67" s="137">
        <v>85</v>
      </c>
      <c r="OOH67" s="138">
        <v>215</v>
      </c>
      <c r="OOI67" s="138">
        <v>75</v>
      </c>
      <c r="OOJ67" s="137">
        <v>150</v>
      </c>
      <c r="OOK67" s="139">
        <f>SUM(OOF67:OOJ67)</f>
        <v>8675</v>
      </c>
      <c r="OOL67" s="137">
        <v>200</v>
      </c>
      <c r="OOM67" s="139">
        <f>SUM(OOK67:OOL67)</f>
        <v>8875</v>
      </c>
      <c r="OON67" s="132" t="s">
        <v>113</v>
      </c>
      <c r="OOO67" s="133">
        <v>45845</v>
      </c>
      <c r="OOP67" s="128" t="s">
        <v>41</v>
      </c>
      <c r="OOQ67" s="207"/>
      <c r="OOR67" s="134" t="s">
        <v>136</v>
      </c>
      <c r="OOS67" s="205"/>
      <c r="OOT67" s="206"/>
      <c r="OOU67" s="128" t="s">
        <v>24</v>
      </c>
      <c r="OOV67" s="129">
        <v>8150</v>
      </c>
      <c r="OOW67" s="137">
        <v>85</v>
      </c>
      <c r="OOX67" s="138">
        <v>215</v>
      </c>
      <c r="OOY67" s="138">
        <v>75</v>
      </c>
      <c r="OOZ67" s="137">
        <v>150</v>
      </c>
      <c r="OPA67" s="139">
        <f>SUM(OOV67:OOZ67)</f>
        <v>8675</v>
      </c>
      <c r="OPB67" s="137">
        <v>200</v>
      </c>
      <c r="OPC67" s="139">
        <f>SUM(OPA67:OPB67)</f>
        <v>8875</v>
      </c>
      <c r="OPD67" s="132" t="s">
        <v>113</v>
      </c>
      <c r="OPE67" s="133">
        <v>45845</v>
      </c>
      <c r="OPF67" s="128" t="s">
        <v>41</v>
      </c>
      <c r="OPG67" s="207"/>
      <c r="OPH67" s="134" t="s">
        <v>136</v>
      </c>
      <c r="OPI67" s="205"/>
      <c r="OPJ67" s="206"/>
      <c r="OPK67" s="128" t="s">
        <v>24</v>
      </c>
      <c r="OPL67" s="129">
        <v>8150</v>
      </c>
      <c r="OPM67" s="137">
        <v>85</v>
      </c>
      <c r="OPN67" s="138">
        <v>215</v>
      </c>
      <c r="OPO67" s="138">
        <v>75</v>
      </c>
      <c r="OPP67" s="137">
        <v>150</v>
      </c>
      <c r="OPQ67" s="139">
        <f>SUM(OPL67:OPP67)</f>
        <v>8675</v>
      </c>
      <c r="OPR67" s="137">
        <v>200</v>
      </c>
      <c r="OPS67" s="139">
        <f>SUM(OPQ67:OPR67)</f>
        <v>8875</v>
      </c>
      <c r="OPT67" s="132" t="s">
        <v>113</v>
      </c>
      <c r="OPU67" s="133">
        <v>45845</v>
      </c>
      <c r="OPV67" s="128" t="s">
        <v>41</v>
      </c>
      <c r="OPW67" s="207"/>
      <c r="OPX67" s="134" t="s">
        <v>136</v>
      </c>
      <c r="OPY67" s="205"/>
      <c r="OPZ67" s="206"/>
      <c r="OQA67" s="128" t="s">
        <v>24</v>
      </c>
      <c r="OQB67" s="129">
        <v>8150</v>
      </c>
      <c r="OQC67" s="137">
        <v>85</v>
      </c>
      <c r="OQD67" s="138">
        <v>215</v>
      </c>
      <c r="OQE67" s="138">
        <v>75</v>
      </c>
      <c r="OQF67" s="137">
        <v>150</v>
      </c>
      <c r="OQG67" s="139">
        <f>SUM(OQB67:OQF67)</f>
        <v>8675</v>
      </c>
      <c r="OQH67" s="137">
        <v>200</v>
      </c>
      <c r="OQI67" s="139">
        <f>SUM(OQG67:OQH67)</f>
        <v>8875</v>
      </c>
      <c r="OQJ67" s="132" t="s">
        <v>113</v>
      </c>
      <c r="OQK67" s="133">
        <v>45845</v>
      </c>
      <c r="OQL67" s="128" t="s">
        <v>41</v>
      </c>
      <c r="OQM67" s="207"/>
      <c r="OQN67" s="134" t="s">
        <v>136</v>
      </c>
      <c r="OQO67" s="205"/>
      <c r="OQP67" s="206"/>
      <c r="OQQ67" s="128" t="s">
        <v>24</v>
      </c>
      <c r="OQR67" s="129">
        <v>8150</v>
      </c>
      <c r="OQS67" s="137">
        <v>85</v>
      </c>
      <c r="OQT67" s="138">
        <v>215</v>
      </c>
      <c r="OQU67" s="138">
        <v>75</v>
      </c>
      <c r="OQV67" s="137">
        <v>150</v>
      </c>
      <c r="OQW67" s="139">
        <f>SUM(OQR67:OQV67)</f>
        <v>8675</v>
      </c>
      <c r="OQX67" s="137">
        <v>200</v>
      </c>
      <c r="OQY67" s="139">
        <f>SUM(OQW67:OQX67)</f>
        <v>8875</v>
      </c>
      <c r="OQZ67" s="132" t="s">
        <v>113</v>
      </c>
      <c r="ORA67" s="133">
        <v>45845</v>
      </c>
      <c r="ORB67" s="128" t="s">
        <v>41</v>
      </c>
      <c r="ORC67" s="207"/>
      <c r="ORD67" s="134" t="s">
        <v>136</v>
      </c>
      <c r="ORE67" s="205"/>
      <c r="ORF67" s="206"/>
      <c r="ORG67" s="128" t="s">
        <v>24</v>
      </c>
      <c r="ORH67" s="129">
        <v>8150</v>
      </c>
      <c r="ORI67" s="137">
        <v>85</v>
      </c>
      <c r="ORJ67" s="138">
        <v>215</v>
      </c>
      <c r="ORK67" s="138">
        <v>75</v>
      </c>
      <c r="ORL67" s="137">
        <v>150</v>
      </c>
      <c r="ORM67" s="139">
        <f>SUM(ORH67:ORL67)</f>
        <v>8675</v>
      </c>
      <c r="ORN67" s="137">
        <v>200</v>
      </c>
      <c r="ORO67" s="139">
        <f>SUM(ORM67:ORN67)</f>
        <v>8875</v>
      </c>
      <c r="ORP67" s="132" t="s">
        <v>113</v>
      </c>
      <c r="ORQ67" s="133">
        <v>45845</v>
      </c>
      <c r="ORR67" s="128" t="s">
        <v>41</v>
      </c>
      <c r="ORS67" s="207"/>
      <c r="ORT67" s="134" t="s">
        <v>136</v>
      </c>
      <c r="ORU67" s="205"/>
      <c r="ORV67" s="206"/>
      <c r="ORW67" s="128" t="s">
        <v>24</v>
      </c>
      <c r="ORX67" s="129">
        <v>8150</v>
      </c>
      <c r="ORY67" s="137">
        <v>85</v>
      </c>
      <c r="ORZ67" s="138">
        <v>215</v>
      </c>
      <c r="OSA67" s="138">
        <v>75</v>
      </c>
      <c r="OSB67" s="137">
        <v>150</v>
      </c>
      <c r="OSC67" s="139">
        <f>SUM(ORX67:OSB67)</f>
        <v>8675</v>
      </c>
      <c r="OSD67" s="137">
        <v>200</v>
      </c>
      <c r="OSE67" s="139">
        <f>SUM(OSC67:OSD67)</f>
        <v>8875</v>
      </c>
      <c r="OSF67" s="132" t="s">
        <v>113</v>
      </c>
      <c r="OSG67" s="133">
        <v>45845</v>
      </c>
      <c r="OSH67" s="128" t="s">
        <v>41</v>
      </c>
      <c r="OSI67" s="207"/>
      <c r="OSJ67" s="134" t="s">
        <v>136</v>
      </c>
      <c r="OSK67" s="205"/>
      <c r="OSL67" s="206"/>
      <c r="OSM67" s="128" t="s">
        <v>24</v>
      </c>
      <c r="OSN67" s="129">
        <v>8150</v>
      </c>
      <c r="OSO67" s="137">
        <v>85</v>
      </c>
      <c r="OSP67" s="138">
        <v>215</v>
      </c>
      <c r="OSQ67" s="138">
        <v>75</v>
      </c>
      <c r="OSR67" s="137">
        <v>150</v>
      </c>
      <c r="OSS67" s="139">
        <f>SUM(OSN67:OSR67)</f>
        <v>8675</v>
      </c>
      <c r="OST67" s="137">
        <v>200</v>
      </c>
      <c r="OSU67" s="139">
        <f>SUM(OSS67:OST67)</f>
        <v>8875</v>
      </c>
      <c r="OSV67" s="132" t="s">
        <v>113</v>
      </c>
      <c r="OSW67" s="133">
        <v>45845</v>
      </c>
      <c r="OSX67" s="128" t="s">
        <v>41</v>
      </c>
      <c r="OSY67" s="207"/>
      <c r="OSZ67" s="134" t="s">
        <v>136</v>
      </c>
      <c r="OTA67" s="205"/>
      <c r="OTB67" s="206"/>
      <c r="OTC67" s="128" t="s">
        <v>24</v>
      </c>
      <c r="OTD67" s="129">
        <v>8150</v>
      </c>
      <c r="OTE67" s="137">
        <v>85</v>
      </c>
      <c r="OTF67" s="138">
        <v>215</v>
      </c>
      <c r="OTG67" s="138">
        <v>75</v>
      </c>
      <c r="OTH67" s="137">
        <v>150</v>
      </c>
      <c r="OTI67" s="139">
        <f>SUM(OTD67:OTH67)</f>
        <v>8675</v>
      </c>
      <c r="OTJ67" s="137">
        <v>200</v>
      </c>
      <c r="OTK67" s="139">
        <f>SUM(OTI67:OTJ67)</f>
        <v>8875</v>
      </c>
      <c r="OTL67" s="132" t="s">
        <v>113</v>
      </c>
      <c r="OTM67" s="133">
        <v>45845</v>
      </c>
      <c r="OTN67" s="128" t="s">
        <v>41</v>
      </c>
      <c r="OTO67" s="207"/>
      <c r="OTP67" s="134" t="s">
        <v>136</v>
      </c>
      <c r="OTQ67" s="205"/>
      <c r="OTR67" s="206"/>
      <c r="OTS67" s="128" t="s">
        <v>24</v>
      </c>
      <c r="OTT67" s="129">
        <v>8150</v>
      </c>
      <c r="OTU67" s="137">
        <v>85</v>
      </c>
      <c r="OTV67" s="138">
        <v>215</v>
      </c>
      <c r="OTW67" s="138">
        <v>75</v>
      </c>
      <c r="OTX67" s="137">
        <v>150</v>
      </c>
      <c r="OTY67" s="139">
        <f>SUM(OTT67:OTX67)</f>
        <v>8675</v>
      </c>
      <c r="OTZ67" s="137">
        <v>200</v>
      </c>
      <c r="OUA67" s="139">
        <f>SUM(OTY67:OTZ67)</f>
        <v>8875</v>
      </c>
      <c r="OUB67" s="132" t="s">
        <v>113</v>
      </c>
      <c r="OUC67" s="133">
        <v>45845</v>
      </c>
      <c r="OUD67" s="128" t="s">
        <v>41</v>
      </c>
      <c r="OUE67" s="207"/>
      <c r="OUF67" s="134" t="s">
        <v>136</v>
      </c>
      <c r="OUG67" s="205"/>
      <c r="OUH67" s="206"/>
      <c r="OUI67" s="128" t="s">
        <v>24</v>
      </c>
      <c r="OUJ67" s="129">
        <v>8150</v>
      </c>
      <c r="OUK67" s="137">
        <v>85</v>
      </c>
      <c r="OUL67" s="138">
        <v>215</v>
      </c>
      <c r="OUM67" s="138">
        <v>75</v>
      </c>
      <c r="OUN67" s="137">
        <v>150</v>
      </c>
      <c r="OUO67" s="139">
        <f>SUM(OUJ67:OUN67)</f>
        <v>8675</v>
      </c>
      <c r="OUP67" s="137">
        <v>200</v>
      </c>
      <c r="OUQ67" s="139">
        <f>SUM(OUO67:OUP67)</f>
        <v>8875</v>
      </c>
      <c r="OUR67" s="132" t="s">
        <v>113</v>
      </c>
      <c r="OUS67" s="133">
        <v>45845</v>
      </c>
      <c r="OUT67" s="128" t="s">
        <v>41</v>
      </c>
      <c r="OUU67" s="207"/>
      <c r="OUV67" s="134" t="s">
        <v>136</v>
      </c>
      <c r="OUW67" s="205"/>
      <c r="OUX67" s="206"/>
      <c r="OUY67" s="128" t="s">
        <v>24</v>
      </c>
      <c r="OUZ67" s="129">
        <v>8150</v>
      </c>
      <c r="OVA67" s="137">
        <v>85</v>
      </c>
      <c r="OVB67" s="138">
        <v>215</v>
      </c>
      <c r="OVC67" s="138">
        <v>75</v>
      </c>
      <c r="OVD67" s="137">
        <v>150</v>
      </c>
      <c r="OVE67" s="139">
        <f>SUM(OUZ67:OVD67)</f>
        <v>8675</v>
      </c>
      <c r="OVF67" s="137">
        <v>200</v>
      </c>
      <c r="OVG67" s="139">
        <f>SUM(OVE67:OVF67)</f>
        <v>8875</v>
      </c>
      <c r="OVH67" s="132" t="s">
        <v>113</v>
      </c>
      <c r="OVI67" s="133">
        <v>45845</v>
      </c>
      <c r="OVJ67" s="128" t="s">
        <v>41</v>
      </c>
      <c r="OVK67" s="207"/>
      <c r="OVL67" s="134" t="s">
        <v>136</v>
      </c>
      <c r="OVM67" s="205"/>
      <c r="OVN67" s="206"/>
      <c r="OVO67" s="128" t="s">
        <v>24</v>
      </c>
      <c r="OVP67" s="129">
        <v>8150</v>
      </c>
      <c r="OVQ67" s="137">
        <v>85</v>
      </c>
      <c r="OVR67" s="138">
        <v>215</v>
      </c>
      <c r="OVS67" s="138">
        <v>75</v>
      </c>
      <c r="OVT67" s="137">
        <v>150</v>
      </c>
      <c r="OVU67" s="139">
        <f>SUM(OVP67:OVT67)</f>
        <v>8675</v>
      </c>
      <c r="OVV67" s="137">
        <v>200</v>
      </c>
      <c r="OVW67" s="139">
        <f>SUM(OVU67:OVV67)</f>
        <v>8875</v>
      </c>
      <c r="OVX67" s="132" t="s">
        <v>113</v>
      </c>
      <c r="OVY67" s="133">
        <v>45845</v>
      </c>
      <c r="OVZ67" s="128" t="s">
        <v>41</v>
      </c>
      <c r="OWA67" s="207"/>
      <c r="OWB67" s="134" t="s">
        <v>136</v>
      </c>
      <c r="OWC67" s="205"/>
      <c r="OWD67" s="206"/>
      <c r="OWE67" s="128" t="s">
        <v>24</v>
      </c>
      <c r="OWF67" s="129">
        <v>8150</v>
      </c>
      <c r="OWG67" s="137">
        <v>85</v>
      </c>
      <c r="OWH67" s="138">
        <v>215</v>
      </c>
      <c r="OWI67" s="138">
        <v>75</v>
      </c>
      <c r="OWJ67" s="137">
        <v>150</v>
      </c>
      <c r="OWK67" s="139">
        <f>SUM(OWF67:OWJ67)</f>
        <v>8675</v>
      </c>
      <c r="OWL67" s="137">
        <v>200</v>
      </c>
      <c r="OWM67" s="139">
        <f>SUM(OWK67:OWL67)</f>
        <v>8875</v>
      </c>
      <c r="OWN67" s="132" t="s">
        <v>113</v>
      </c>
      <c r="OWO67" s="133">
        <v>45845</v>
      </c>
      <c r="OWP67" s="128" t="s">
        <v>41</v>
      </c>
      <c r="OWQ67" s="207"/>
      <c r="OWR67" s="134" t="s">
        <v>136</v>
      </c>
      <c r="OWS67" s="205"/>
      <c r="OWT67" s="206"/>
      <c r="OWU67" s="128" t="s">
        <v>24</v>
      </c>
      <c r="OWV67" s="129">
        <v>8150</v>
      </c>
      <c r="OWW67" s="137">
        <v>85</v>
      </c>
      <c r="OWX67" s="138">
        <v>215</v>
      </c>
      <c r="OWY67" s="138">
        <v>75</v>
      </c>
      <c r="OWZ67" s="137">
        <v>150</v>
      </c>
      <c r="OXA67" s="139">
        <f>SUM(OWV67:OWZ67)</f>
        <v>8675</v>
      </c>
      <c r="OXB67" s="137">
        <v>200</v>
      </c>
      <c r="OXC67" s="139">
        <f>SUM(OXA67:OXB67)</f>
        <v>8875</v>
      </c>
      <c r="OXD67" s="132" t="s">
        <v>113</v>
      </c>
      <c r="OXE67" s="133">
        <v>45845</v>
      </c>
      <c r="OXF67" s="128" t="s">
        <v>41</v>
      </c>
      <c r="OXG67" s="207"/>
      <c r="OXH67" s="134" t="s">
        <v>136</v>
      </c>
      <c r="OXI67" s="205"/>
      <c r="OXJ67" s="206"/>
      <c r="OXK67" s="128" t="s">
        <v>24</v>
      </c>
      <c r="OXL67" s="129">
        <v>8150</v>
      </c>
      <c r="OXM67" s="137">
        <v>85</v>
      </c>
      <c r="OXN67" s="138">
        <v>215</v>
      </c>
      <c r="OXO67" s="138">
        <v>75</v>
      </c>
      <c r="OXP67" s="137">
        <v>150</v>
      </c>
      <c r="OXQ67" s="139">
        <f>SUM(OXL67:OXP67)</f>
        <v>8675</v>
      </c>
      <c r="OXR67" s="137">
        <v>200</v>
      </c>
      <c r="OXS67" s="139">
        <f>SUM(OXQ67:OXR67)</f>
        <v>8875</v>
      </c>
      <c r="OXT67" s="132" t="s">
        <v>113</v>
      </c>
      <c r="OXU67" s="133">
        <v>45845</v>
      </c>
      <c r="OXV67" s="128" t="s">
        <v>41</v>
      </c>
      <c r="OXW67" s="207"/>
      <c r="OXX67" s="134" t="s">
        <v>136</v>
      </c>
      <c r="OXY67" s="205"/>
      <c r="OXZ67" s="206"/>
      <c r="OYA67" s="128" t="s">
        <v>24</v>
      </c>
      <c r="OYB67" s="129">
        <v>8150</v>
      </c>
      <c r="OYC67" s="137">
        <v>85</v>
      </c>
      <c r="OYD67" s="138">
        <v>215</v>
      </c>
      <c r="OYE67" s="138">
        <v>75</v>
      </c>
      <c r="OYF67" s="137">
        <v>150</v>
      </c>
      <c r="OYG67" s="139">
        <f>SUM(OYB67:OYF67)</f>
        <v>8675</v>
      </c>
      <c r="OYH67" s="137">
        <v>200</v>
      </c>
      <c r="OYI67" s="139">
        <f>SUM(OYG67:OYH67)</f>
        <v>8875</v>
      </c>
      <c r="OYJ67" s="132" t="s">
        <v>113</v>
      </c>
      <c r="OYK67" s="133">
        <v>45845</v>
      </c>
      <c r="OYL67" s="128" t="s">
        <v>41</v>
      </c>
      <c r="OYM67" s="207"/>
      <c r="OYN67" s="134" t="s">
        <v>136</v>
      </c>
      <c r="OYO67" s="205"/>
      <c r="OYP67" s="206"/>
      <c r="OYQ67" s="128" t="s">
        <v>24</v>
      </c>
      <c r="OYR67" s="129">
        <v>8150</v>
      </c>
      <c r="OYS67" s="137">
        <v>85</v>
      </c>
      <c r="OYT67" s="138">
        <v>215</v>
      </c>
      <c r="OYU67" s="138">
        <v>75</v>
      </c>
      <c r="OYV67" s="137">
        <v>150</v>
      </c>
      <c r="OYW67" s="139">
        <f>SUM(OYR67:OYV67)</f>
        <v>8675</v>
      </c>
      <c r="OYX67" s="137">
        <v>200</v>
      </c>
      <c r="OYY67" s="139">
        <f>SUM(OYW67:OYX67)</f>
        <v>8875</v>
      </c>
      <c r="OYZ67" s="132" t="s">
        <v>113</v>
      </c>
      <c r="OZA67" s="133">
        <v>45845</v>
      </c>
      <c r="OZB67" s="128" t="s">
        <v>41</v>
      </c>
      <c r="OZC67" s="207"/>
      <c r="OZD67" s="134" t="s">
        <v>136</v>
      </c>
      <c r="OZE67" s="205"/>
      <c r="OZF67" s="206"/>
      <c r="OZG67" s="128" t="s">
        <v>24</v>
      </c>
      <c r="OZH67" s="129">
        <v>8150</v>
      </c>
      <c r="OZI67" s="137">
        <v>85</v>
      </c>
      <c r="OZJ67" s="138">
        <v>215</v>
      </c>
      <c r="OZK67" s="138">
        <v>75</v>
      </c>
      <c r="OZL67" s="137">
        <v>150</v>
      </c>
      <c r="OZM67" s="139">
        <f>SUM(OZH67:OZL67)</f>
        <v>8675</v>
      </c>
      <c r="OZN67" s="137">
        <v>200</v>
      </c>
      <c r="OZO67" s="139">
        <f>SUM(OZM67:OZN67)</f>
        <v>8875</v>
      </c>
      <c r="OZP67" s="132" t="s">
        <v>113</v>
      </c>
      <c r="OZQ67" s="133">
        <v>45845</v>
      </c>
      <c r="OZR67" s="128" t="s">
        <v>41</v>
      </c>
      <c r="OZS67" s="207"/>
      <c r="OZT67" s="134" t="s">
        <v>136</v>
      </c>
      <c r="OZU67" s="205"/>
      <c r="OZV67" s="206"/>
      <c r="OZW67" s="128" t="s">
        <v>24</v>
      </c>
      <c r="OZX67" s="129">
        <v>8150</v>
      </c>
      <c r="OZY67" s="137">
        <v>85</v>
      </c>
      <c r="OZZ67" s="138">
        <v>215</v>
      </c>
      <c r="PAA67" s="138">
        <v>75</v>
      </c>
      <c r="PAB67" s="137">
        <v>150</v>
      </c>
      <c r="PAC67" s="139">
        <f>SUM(OZX67:PAB67)</f>
        <v>8675</v>
      </c>
      <c r="PAD67" s="137">
        <v>200</v>
      </c>
      <c r="PAE67" s="139">
        <f>SUM(PAC67:PAD67)</f>
        <v>8875</v>
      </c>
      <c r="PAF67" s="132" t="s">
        <v>113</v>
      </c>
      <c r="PAG67" s="133">
        <v>45845</v>
      </c>
      <c r="PAH67" s="128" t="s">
        <v>41</v>
      </c>
      <c r="PAI67" s="207"/>
      <c r="PAJ67" s="134" t="s">
        <v>136</v>
      </c>
      <c r="PAK67" s="205"/>
      <c r="PAL67" s="206"/>
      <c r="PAM67" s="128" t="s">
        <v>24</v>
      </c>
      <c r="PAN67" s="129">
        <v>8150</v>
      </c>
      <c r="PAO67" s="137">
        <v>85</v>
      </c>
      <c r="PAP67" s="138">
        <v>215</v>
      </c>
      <c r="PAQ67" s="138">
        <v>75</v>
      </c>
      <c r="PAR67" s="137">
        <v>150</v>
      </c>
      <c r="PAS67" s="139">
        <f>SUM(PAN67:PAR67)</f>
        <v>8675</v>
      </c>
      <c r="PAT67" s="137">
        <v>200</v>
      </c>
      <c r="PAU67" s="139">
        <f>SUM(PAS67:PAT67)</f>
        <v>8875</v>
      </c>
      <c r="PAV67" s="132" t="s">
        <v>113</v>
      </c>
      <c r="PAW67" s="133">
        <v>45845</v>
      </c>
      <c r="PAX67" s="128" t="s">
        <v>41</v>
      </c>
      <c r="PAY67" s="207"/>
      <c r="PAZ67" s="134" t="s">
        <v>136</v>
      </c>
      <c r="PBA67" s="205"/>
      <c r="PBB67" s="206"/>
      <c r="PBC67" s="128" t="s">
        <v>24</v>
      </c>
      <c r="PBD67" s="129">
        <v>8150</v>
      </c>
      <c r="PBE67" s="137">
        <v>85</v>
      </c>
      <c r="PBF67" s="138">
        <v>215</v>
      </c>
      <c r="PBG67" s="138">
        <v>75</v>
      </c>
      <c r="PBH67" s="137">
        <v>150</v>
      </c>
      <c r="PBI67" s="139">
        <f>SUM(PBD67:PBH67)</f>
        <v>8675</v>
      </c>
      <c r="PBJ67" s="137">
        <v>200</v>
      </c>
      <c r="PBK67" s="139">
        <f>SUM(PBI67:PBJ67)</f>
        <v>8875</v>
      </c>
      <c r="PBL67" s="132" t="s">
        <v>113</v>
      </c>
      <c r="PBM67" s="133">
        <v>45845</v>
      </c>
      <c r="PBN67" s="128" t="s">
        <v>41</v>
      </c>
      <c r="PBO67" s="207"/>
      <c r="PBP67" s="134" t="s">
        <v>136</v>
      </c>
      <c r="PBQ67" s="205"/>
      <c r="PBR67" s="206"/>
      <c r="PBS67" s="128" t="s">
        <v>24</v>
      </c>
      <c r="PBT67" s="129">
        <v>8150</v>
      </c>
      <c r="PBU67" s="137">
        <v>85</v>
      </c>
      <c r="PBV67" s="138">
        <v>215</v>
      </c>
      <c r="PBW67" s="138">
        <v>75</v>
      </c>
      <c r="PBX67" s="137">
        <v>150</v>
      </c>
      <c r="PBY67" s="139">
        <f>SUM(PBT67:PBX67)</f>
        <v>8675</v>
      </c>
      <c r="PBZ67" s="137">
        <v>200</v>
      </c>
      <c r="PCA67" s="139">
        <f>SUM(PBY67:PBZ67)</f>
        <v>8875</v>
      </c>
      <c r="PCB67" s="132" t="s">
        <v>113</v>
      </c>
      <c r="PCC67" s="133">
        <v>45845</v>
      </c>
      <c r="PCD67" s="128" t="s">
        <v>41</v>
      </c>
      <c r="PCE67" s="207"/>
      <c r="PCF67" s="134" t="s">
        <v>136</v>
      </c>
      <c r="PCG67" s="205"/>
      <c r="PCH67" s="206"/>
      <c r="PCI67" s="128" t="s">
        <v>24</v>
      </c>
      <c r="PCJ67" s="129">
        <v>8150</v>
      </c>
      <c r="PCK67" s="137">
        <v>85</v>
      </c>
      <c r="PCL67" s="138">
        <v>215</v>
      </c>
      <c r="PCM67" s="138">
        <v>75</v>
      </c>
      <c r="PCN67" s="137">
        <v>150</v>
      </c>
      <c r="PCO67" s="139">
        <f>SUM(PCJ67:PCN67)</f>
        <v>8675</v>
      </c>
      <c r="PCP67" s="137">
        <v>200</v>
      </c>
      <c r="PCQ67" s="139">
        <f>SUM(PCO67:PCP67)</f>
        <v>8875</v>
      </c>
      <c r="PCR67" s="132" t="s">
        <v>113</v>
      </c>
      <c r="PCS67" s="133">
        <v>45845</v>
      </c>
      <c r="PCT67" s="128" t="s">
        <v>41</v>
      </c>
      <c r="PCU67" s="207"/>
      <c r="PCV67" s="134" t="s">
        <v>136</v>
      </c>
      <c r="PCW67" s="205"/>
      <c r="PCX67" s="206"/>
      <c r="PCY67" s="128" t="s">
        <v>24</v>
      </c>
      <c r="PCZ67" s="129">
        <v>8150</v>
      </c>
      <c r="PDA67" s="137">
        <v>85</v>
      </c>
      <c r="PDB67" s="138">
        <v>215</v>
      </c>
      <c r="PDC67" s="138">
        <v>75</v>
      </c>
      <c r="PDD67" s="137">
        <v>150</v>
      </c>
      <c r="PDE67" s="139">
        <f>SUM(PCZ67:PDD67)</f>
        <v>8675</v>
      </c>
      <c r="PDF67" s="137">
        <v>200</v>
      </c>
      <c r="PDG67" s="139">
        <f>SUM(PDE67:PDF67)</f>
        <v>8875</v>
      </c>
      <c r="PDH67" s="132" t="s">
        <v>113</v>
      </c>
      <c r="PDI67" s="133">
        <v>45845</v>
      </c>
      <c r="PDJ67" s="128" t="s">
        <v>41</v>
      </c>
      <c r="PDK67" s="207"/>
      <c r="PDL67" s="134" t="s">
        <v>136</v>
      </c>
      <c r="PDM67" s="205"/>
      <c r="PDN67" s="206"/>
      <c r="PDO67" s="128" t="s">
        <v>24</v>
      </c>
      <c r="PDP67" s="129">
        <v>8150</v>
      </c>
      <c r="PDQ67" s="137">
        <v>85</v>
      </c>
      <c r="PDR67" s="138">
        <v>215</v>
      </c>
      <c r="PDS67" s="138">
        <v>75</v>
      </c>
      <c r="PDT67" s="137">
        <v>150</v>
      </c>
      <c r="PDU67" s="139">
        <f>SUM(PDP67:PDT67)</f>
        <v>8675</v>
      </c>
      <c r="PDV67" s="137">
        <v>200</v>
      </c>
      <c r="PDW67" s="139">
        <f>SUM(PDU67:PDV67)</f>
        <v>8875</v>
      </c>
      <c r="PDX67" s="132" t="s">
        <v>113</v>
      </c>
      <c r="PDY67" s="133">
        <v>45845</v>
      </c>
      <c r="PDZ67" s="128" t="s">
        <v>41</v>
      </c>
      <c r="PEA67" s="207"/>
      <c r="PEB67" s="134" t="s">
        <v>136</v>
      </c>
      <c r="PEC67" s="205"/>
      <c r="PED67" s="206"/>
      <c r="PEE67" s="128" t="s">
        <v>24</v>
      </c>
      <c r="PEF67" s="129">
        <v>8150</v>
      </c>
      <c r="PEG67" s="137">
        <v>85</v>
      </c>
      <c r="PEH67" s="138">
        <v>215</v>
      </c>
      <c r="PEI67" s="138">
        <v>75</v>
      </c>
      <c r="PEJ67" s="137">
        <v>150</v>
      </c>
      <c r="PEK67" s="139">
        <f>SUM(PEF67:PEJ67)</f>
        <v>8675</v>
      </c>
      <c r="PEL67" s="137">
        <v>200</v>
      </c>
      <c r="PEM67" s="139">
        <f>SUM(PEK67:PEL67)</f>
        <v>8875</v>
      </c>
      <c r="PEN67" s="132" t="s">
        <v>113</v>
      </c>
      <c r="PEO67" s="133">
        <v>45845</v>
      </c>
      <c r="PEP67" s="128" t="s">
        <v>41</v>
      </c>
      <c r="PEQ67" s="207"/>
      <c r="PER67" s="134" t="s">
        <v>136</v>
      </c>
      <c r="PES67" s="205"/>
      <c r="PET67" s="206"/>
      <c r="PEU67" s="128" t="s">
        <v>24</v>
      </c>
      <c r="PEV67" s="129">
        <v>8150</v>
      </c>
      <c r="PEW67" s="137">
        <v>85</v>
      </c>
      <c r="PEX67" s="138">
        <v>215</v>
      </c>
      <c r="PEY67" s="138">
        <v>75</v>
      </c>
      <c r="PEZ67" s="137">
        <v>150</v>
      </c>
      <c r="PFA67" s="139">
        <f>SUM(PEV67:PEZ67)</f>
        <v>8675</v>
      </c>
      <c r="PFB67" s="137">
        <v>200</v>
      </c>
      <c r="PFC67" s="139">
        <f>SUM(PFA67:PFB67)</f>
        <v>8875</v>
      </c>
      <c r="PFD67" s="132" t="s">
        <v>113</v>
      </c>
      <c r="PFE67" s="133">
        <v>45845</v>
      </c>
      <c r="PFF67" s="128" t="s">
        <v>41</v>
      </c>
      <c r="PFG67" s="207"/>
      <c r="PFH67" s="134" t="s">
        <v>136</v>
      </c>
      <c r="PFI67" s="205"/>
      <c r="PFJ67" s="206"/>
      <c r="PFK67" s="128" t="s">
        <v>24</v>
      </c>
      <c r="PFL67" s="129">
        <v>8150</v>
      </c>
      <c r="PFM67" s="137">
        <v>85</v>
      </c>
      <c r="PFN67" s="138">
        <v>215</v>
      </c>
      <c r="PFO67" s="138">
        <v>75</v>
      </c>
      <c r="PFP67" s="137">
        <v>150</v>
      </c>
      <c r="PFQ67" s="139">
        <f>SUM(PFL67:PFP67)</f>
        <v>8675</v>
      </c>
      <c r="PFR67" s="137">
        <v>200</v>
      </c>
      <c r="PFS67" s="139">
        <f>SUM(PFQ67:PFR67)</f>
        <v>8875</v>
      </c>
      <c r="PFT67" s="132" t="s">
        <v>113</v>
      </c>
      <c r="PFU67" s="133">
        <v>45845</v>
      </c>
      <c r="PFV67" s="128" t="s">
        <v>41</v>
      </c>
      <c r="PFW67" s="207"/>
      <c r="PFX67" s="134" t="s">
        <v>136</v>
      </c>
      <c r="PFY67" s="205"/>
      <c r="PFZ67" s="206"/>
      <c r="PGA67" s="128" t="s">
        <v>24</v>
      </c>
      <c r="PGB67" s="129">
        <v>8150</v>
      </c>
      <c r="PGC67" s="137">
        <v>85</v>
      </c>
      <c r="PGD67" s="138">
        <v>215</v>
      </c>
      <c r="PGE67" s="138">
        <v>75</v>
      </c>
      <c r="PGF67" s="137">
        <v>150</v>
      </c>
      <c r="PGG67" s="139">
        <f>SUM(PGB67:PGF67)</f>
        <v>8675</v>
      </c>
      <c r="PGH67" s="137">
        <v>200</v>
      </c>
      <c r="PGI67" s="139">
        <f>SUM(PGG67:PGH67)</f>
        <v>8875</v>
      </c>
      <c r="PGJ67" s="132" t="s">
        <v>113</v>
      </c>
      <c r="PGK67" s="133">
        <v>45845</v>
      </c>
      <c r="PGL67" s="128" t="s">
        <v>41</v>
      </c>
      <c r="PGM67" s="207"/>
      <c r="PGN67" s="134" t="s">
        <v>136</v>
      </c>
      <c r="PGO67" s="205"/>
      <c r="PGP67" s="206"/>
      <c r="PGQ67" s="128" t="s">
        <v>24</v>
      </c>
      <c r="PGR67" s="129">
        <v>8150</v>
      </c>
      <c r="PGS67" s="137">
        <v>85</v>
      </c>
      <c r="PGT67" s="138">
        <v>215</v>
      </c>
      <c r="PGU67" s="138">
        <v>75</v>
      </c>
      <c r="PGV67" s="137">
        <v>150</v>
      </c>
      <c r="PGW67" s="139">
        <f>SUM(PGR67:PGV67)</f>
        <v>8675</v>
      </c>
      <c r="PGX67" s="137">
        <v>200</v>
      </c>
      <c r="PGY67" s="139">
        <f>SUM(PGW67:PGX67)</f>
        <v>8875</v>
      </c>
      <c r="PGZ67" s="132" t="s">
        <v>113</v>
      </c>
      <c r="PHA67" s="133">
        <v>45845</v>
      </c>
      <c r="PHB67" s="128" t="s">
        <v>41</v>
      </c>
      <c r="PHC67" s="207"/>
      <c r="PHD67" s="134" t="s">
        <v>136</v>
      </c>
      <c r="PHE67" s="205"/>
      <c r="PHF67" s="206"/>
      <c r="PHG67" s="128" t="s">
        <v>24</v>
      </c>
      <c r="PHH67" s="129">
        <v>8150</v>
      </c>
      <c r="PHI67" s="137">
        <v>85</v>
      </c>
      <c r="PHJ67" s="138">
        <v>215</v>
      </c>
      <c r="PHK67" s="138">
        <v>75</v>
      </c>
      <c r="PHL67" s="137">
        <v>150</v>
      </c>
      <c r="PHM67" s="139">
        <f>SUM(PHH67:PHL67)</f>
        <v>8675</v>
      </c>
      <c r="PHN67" s="137">
        <v>200</v>
      </c>
      <c r="PHO67" s="139">
        <f>SUM(PHM67:PHN67)</f>
        <v>8875</v>
      </c>
      <c r="PHP67" s="132" t="s">
        <v>113</v>
      </c>
      <c r="PHQ67" s="133">
        <v>45845</v>
      </c>
      <c r="PHR67" s="128" t="s">
        <v>41</v>
      </c>
      <c r="PHS67" s="207"/>
      <c r="PHT67" s="134" t="s">
        <v>136</v>
      </c>
      <c r="PHU67" s="205"/>
      <c r="PHV67" s="206"/>
      <c r="PHW67" s="128" t="s">
        <v>24</v>
      </c>
      <c r="PHX67" s="129">
        <v>8150</v>
      </c>
      <c r="PHY67" s="137">
        <v>85</v>
      </c>
      <c r="PHZ67" s="138">
        <v>215</v>
      </c>
      <c r="PIA67" s="138">
        <v>75</v>
      </c>
      <c r="PIB67" s="137">
        <v>150</v>
      </c>
      <c r="PIC67" s="139">
        <f>SUM(PHX67:PIB67)</f>
        <v>8675</v>
      </c>
      <c r="PID67" s="137">
        <v>200</v>
      </c>
      <c r="PIE67" s="139">
        <f>SUM(PIC67:PID67)</f>
        <v>8875</v>
      </c>
      <c r="PIF67" s="132" t="s">
        <v>113</v>
      </c>
      <c r="PIG67" s="133">
        <v>45845</v>
      </c>
      <c r="PIH67" s="128" t="s">
        <v>41</v>
      </c>
      <c r="PII67" s="207"/>
      <c r="PIJ67" s="134" t="s">
        <v>136</v>
      </c>
      <c r="PIK67" s="205"/>
      <c r="PIL67" s="206"/>
      <c r="PIM67" s="128" t="s">
        <v>24</v>
      </c>
      <c r="PIN67" s="129">
        <v>8150</v>
      </c>
      <c r="PIO67" s="137">
        <v>85</v>
      </c>
      <c r="PIP67" s="138">
        <v>215</v>
      </c>
      <c r="PIQ67" s="138">
        <v>75</v>
      </c>
      <c r="PIR67" s="137">
        <v>150</v>
      </c>
      <c r="PIS67" s="139">
        <f>SUM(PIN67:PIR67)</f>
        <v>8675</v>
      </c>
      <c r="PIT67" s="137">
        <v>200</v>
      </c>
      <c r="PIU67" s="139">
        <f>SUM(PIS67:PIT67)</f>
        <v>8875</v>
      </c>
      <c r="PIV67" s="132" t="s">
        <v>113</v>
      </c>
      <c r="PIW67" s="133">
        <v>45845</v>
      </c>
      <c r="PIX67" s="128" t="s">
        <v>41</v>
      </c>
      <c r="PIY67" s="207"/>
      <c r="PIZ67" s="134" t="s">
        <v>136</v>
      </c>
      <c r="PJA67" s="205"/>
      <c r="PJB67" s="206"/>
      <c r="PJC67" s="128" t="s">
        <v>24</v>
      </c>
      <c r="PJD67" s="129">
        <v>8150</v>
      </c>
      <c r="PJE67" s="137">
        <v>85</v>
      </c>
      <c r="PJF67" s="138">
        <v>215</v>
      </c>
      <c r="PJG67" s="138">
        <v>75</v>
      </c>
      <c r="PJH67" s="137">
        <v>150</v>
      </c>
      <c r="PJI67" s="139">
        <f>SUM(PJD67:PJH67)</f>
        <v>8675</v>
      </c>
      <c r="PJJ67" s="137">
        <v>200</v>
      </c>
      <c r="PJK67" s="139">
        <f>SUM(PJI67:PJJ67)</f>
        <v>8875</v>
      </c>
      <c r="PJL67" s="132" t="s">
        <v>113</v>
      </c>
      <c r="PJM67" s="133">
        <v>45845</v>
      </c>
      <c r="PJN67" s="128" t="s">
        <v>41</v>
      </c>
      <c r="PJO67" s="207"/>
      <c r="PJP67" s="134" t="s">
        <v>136</v>
      </c>
      <c r="PJQ67" s="205"/>
      <c r="PJR67" s="206"/>
      <c r="PJS67" s="128" t="s">
        <v>24</v>
      </c>
      <c r="PJT67" s="129">
        <v>8150</v>
      </c>
      <c r="PJU67" s="137">
        <v>85</v>
      </c>
      <c r="PJV67" s="138">
        <v>215</v>
      </c>
      <c r="PJW67" s="138">
        <v>75</v>
      </c>
      <c r="PJX67" s="137">
        <v>150</v>
      </c>
      <c r="PJY67" s="139">
        <f>SUM(PJT67:PJX67)</f>
        <v>8675</v>
      </c>
      <c r="PJZ67" s="137">
        <v>200</v>
      </c>
      <c r="PKA67" s="139">
        <f>SUM(PJY67:PJZ67)</f>
        <v>8875</v>
      </c>
      <c r="PKB67" s="132" t="s">
        <v>113</v>
      </c>
      <c r="PKC67" s="133">
        <v>45845</v>
      </c>
      <c r="PKD67" s="128" t="s">
        <v>41</v>
      </c>
      <c r="PKE67" s="207"/>
      <c r="PKF67" s="134" t="s">
        <v>136</v>
      </c>
      <c r="PKG67" s="205"/>
      <c r="PKH67" s="206"/>
      <c r="PKI67" s="128" t="s">
        <v>24</v>
      </c>
      <c r="PKJ67" s="129">
        <v>8150</v>
      </c>
      <c r="PKK67" s="137">
        <v>85</v>
      </c>
      <c r="PKL67" s="138">
        <v>215</v>
      </c>
      <c r="PKM67" s="138">
        <v>75</v>
      </c>
      <c r="PKN67" s="137">
        <v>150</v>
      </c>
      <c r="PKO67" s="139">
        <f>SUM(PKJ67:PKN67)</f>
        <v>8675</v>
      </c>
      <c r="PKP67" s="137">
        <v>200</v>
      </c>
      <c r="PKQ67" s="139">
        <f>SUM(PKO67:PKP67)</f>
        <v>8875</v>
      </c>
      <c r="PKR67" s="132" t="s">
        <v>113</v>
      </c>
      <c r="PKS67" s="133">
        <v>45845</v>
      </c>
      <c r="PKT67" s="128" t="s">
        <v>41</v>
      </c>
      <c r="PKU67" s="207"/>
      <c r="PKV67" s="134" t="s">
        <v>136</v>
      </c>
      <c r="PKW67" s="205"/>
      <c r="PKX67" s="206"/>
      <c r="PKY67" s="128" t="s">
        <v>24</v>
      </c>
      <c r="PKZ67" s="129">
        <v>8150</v>
      </c>
      <c r="PLA67" s="137">
        <v>85</v>
      </c>
      <c r="PLB67" s="138">
        <v>215</v>
      </c>
      <c r="PLC67" s="138">
        <v>75</v>
      </c>
      <c r="PLD67" s="137">
        <v>150</v>
      </c>
      <c r="PLE67" s="139">
        <f>SUM(PKZ67:PLD67)</f>
        <v>8675</v>
      </c>
      <c r="PLF67" s="137">
        <v>200</v>
      </c>
      <c r="PLG67" s="139">
        <f>SUM(PLE67:PLF67)</f>
        <v>8875</v>
      </c>
      <c r="PLH67" s="132" t="s">
        <v>113</v>
      </c>
      <c r="PLI67" s="133">
        <v>45845</v>
      </c>
      <c r="PLJ67" s="128" t="s">
        <v>41</v>
      </c>
      <c r="PLK67" s="207"/>
      <c r="PLL67" s="134" t="s">
        <v>136</v>
      </c>
      <c r="PLM67" s="205"/>
      <c r="PLN67" s="206"/>
      <c r="PLO67" s="128" t="s">
        <v>24</v>
      </c>
      <c r="PLP67" s="129">
        <v>8150</v>
      </c>
      <c r="PLQ67" s="137">
        <v>85</v>
      </c>
      <c r="PLR67" s="138">
        <v>215</v>
      </c>
      <c r="PLS67" s="138">
        <v>75</v>
      </c>
      <c r="PLT67" s="137">
        <v>150</v>
      </c>
      <c r="PLU67" s="139">
        <f>SUM(PLP67:PLT67)</f>
        <v>8675</v>
      </c>
      <c r="PLV67" s="137">
        <v>200</v>
      </c>
      <c r="PLW67" s="139">
        <f>SUM(PLU67:PLV67)</f>
        <v>8875</v>
      </c>
      <c r="PLX67" s="132" t="s">
        <v>113</v>
      </c>
      <c r="PLY67" s="133">
        <v>45845</v>
      </c>
      <c r="PLZ67" s="128" t="s">
        <v>41</v>
      </c>
      <c r="PMA67" s="207"/>
      <c r="PMB67" s="134" t="s">
        <v>136</v>
      </c>
      <c r="PMC67" s="205"/>
      <c r="PMD67" s="206"/>
      <c r="PME67" s="128" t="s">
        <v>24</v>
      </c>
      <c r="PMF67" s="129">
        <v>8150</v>
      </c>
      <c r="PMG67" s="137">
        <v>85</v>
      </c>
      <c r="PMH67" s="138">
        <v>215</v>
      </c>
      <c r="PMI67" s="138">
        <v>75</v>
      </c>
      <c r="PMJ67" s="137">
        <v>150</v>
      </c>
      <c r="PMK67" s="139">
        <f>SUM(PMF67:PMJ67)</f>
        <v>8675</v>
      </c>
      <c r="PML67" s="137">
        <v>200</v>
      </c>
      <c r="PMM67" s="139">
        <f>SUM(PMK67:PML67)</f>
        <v>8875</v>
      </c>
      <c r="PMN67" s="132" t="s">
        <v>113</v>
      </c>
      <c r="PMO67" s="133">
        <v>45845</v>
      </c>
      <c r="PMP67" s="128" t="s">
        <v>41</v>
      </c>
      <c r="PMQ67" s="207"/>
      <c r="PMR67" s="134" t="s">
        <v>136</v>
      </c>
      <c r="PMS67" s="205"/>
      <c r="PMT67" s="206"/>
      <c r="PMU67" s="128" t="s">
        <v>24</v>
      </c>
      <c r="PMV67" s="129">
        <v>8150</v>
      </c>
      <c r="PMW67" s="137">
        <v>85</v>
      </c>
      <c r="PMX67" s="138">
        <v>215</v>
      </c>
      <c r="PMY67" s="138">
        <v>75</v>
      </c>
      <c r="PMZ67" s="137">
        <v>150</v>
      </c>
      <c r="PNA67" s="139">
        <f>SUM(PMV67:PMZ67)</f>
        <v>8675</v>
      </c>
      <c r="PNB67" s="137">
        <v>200</v>
      </c>
      <c r="PNC67" s="139">
        <f>SUM(PNA67:PNB67)</f>
        <v>8875</v>
      </c>
      <c r="PND67" s="132" t="s">
        <v>113</v>
      </c>
      <c r="PNE67" s="133">
        <v>45845</v>
      </c>
      <c r="PNF67" s="128" t="s">
        <v>41</v>
      </c>
      <c r="PNG67" s="207"/>
      <c r="PNH67" s="134" t="s">
        <v>136</v>
      </c>
      <c r="PNI67" s="205"/>
      <c r="PNJ67" s="206"/>
      <c r="PNK67" s="128" t="s">
        <v>24</v>
      </c>
      <c r="PNL67" s="129">
        <v>8150</v>
      </c>
      <c r="PNM67" s="137">
        <v>85</v>
      </c>
      <c r="PNN67" s="138">
        <v>215</v>
      </c>
      <c r="PNO67" s="138">
        <v>75</v>
      </c>
      <c r="PNP67" s="137">
        <v>150</v>
      </c>
      <c r="PNQ67" s="139">
        <f>SUM(PNL67:PNP67)</f>
        <v>8675</v>
      </c>
      <c r="PNR67" s="137">
        <v>200</v>
      </c>
      <c r="PNS67" s="139">
        <f>SUM(PNQ67:PNR67)</f>
        <v>8875</v>
      </c>
      <c r="PNT67" s="132" t="s">
        <v>113</v>
      </c>
      <c r="PNU67" s="133">
        <v>45845</v>
      </c>
      <c r="PNV67" s="128" t="s">
        <v>41</v>
      </c>
      <c r="PNW67" s="207"/>
      <c r="PNX67" s="134" t="s">
        <v>136</v>
      </c>
      <c r="PNY67" s="205"/>
      <c r="PNZ67" s="206"/>
      <c r="POA67" s="128" t="s">
        <v>24</v>
      </c>
      <c r="POB67" s="129">
        <v>8150</v>
      </c>
      <c r="POC67" s="137">
        <v>85</v>
      </c>
      <c r="POD67" s="138">
        <v>215</v>
      </c>
      <c r="POE67" s="138">
        <v>75</v>
      </c>
      <c r="POF67" s="137">
        <v>150</v>
      </c>
      <c r="POG67" s="139">
        <f>SUM(POB67:POF67)</f>
        <v>8675</v>
      </c>
      <c r="POH67" s="137">
        <v>200</v>
      </c>
      <c r="POI67" s="139">
        <f>SUM(POG67:POH67)</f>
        <v>8875</v>
      </c>
      <c r="POJ67" s="132" t="s">
        <v>113</v>
      </c>
      <c r="POK67" s="133">
        <v>45845</v>
      </c>
      <c r="POL67" s="128" t="s">
        <v>41</v>
      </c>
      <c r="POM67" s="207"/>
      <c r="PON67" s="134" t="s">
        <v>136</v>
      </c>
      <c r="POO67" s="205"/>
      <c r="POP67" s="206"/>
      <c r="POQ67" s="128" t="s">
        <v>24</v>
      </c>
      <c r="POR67" s="129">
        <v>8150</v>
      </c>
      <c r="POS67" s="137">
        <v>85</v>
      </c>
      <c r="POT67" s="138">
        <v>215</v>
      </c>
      <c r="POU67" s="138">
        <v>75</v>
      </c>
      <c r="POV67" s="137">
        <v>150</v>
      </c>
      <c r="POW67" s="139">
        <f>SUM(POR67:POV67)</f>
        <v>8675</v>
      </c>
      <c r="POX67" s="137">
        <v>200</v>
      </c>
      <c r="POY67" s="139">
        <f>SUM(POW67:POX67)</f>
        <v>8875</v>
      </c>
      <c r="POZ67" s="132" t="s">
        <v>113</v>
      </c>
      <c r="PPA67" s="133">
        <v>45845</v>
      </c>
      <c r="PPB67" s="128" t="s">
        <v>41</v>
      </c>
      <c r="PPC67" s="207"/>
      <c r="PPD67" s="134" t="s">
        <v>136</v>
      </c>
      <c r="PPE67" s="205"/>
      <c r="PPF67" s="206"/>
      <c r="PPG67" s="128" t="s">
        <v>24</v>
      </c>
      <c r="PPH67" s="129">
        <v>8150</v>
      </c>
      <c r="PPI67" s="137">
        <v>85</v>
      </c>
      <c r="PPJ67" s="138">
        <v>215</v>
      </c>
      <c r="PPK67" s="138">
        <v>75</v>
      </c>
      <c r="PPL67" s="137">
        <v>150</v>
      </c>
      <c r="PPM67" s="139">
        <f>SUM(PPH67:PPL67)</f>
        <v>8675</v>
      </c>
      <c r="PPN67" s="137">
        <v>200</v>
      </c>
      <c r="PPO67" s="139">
        <f>SUM(PPM67:PPN67)</f>
        <v>8875</v>
      </c>
      <c r="PPP67" s="132" t="s">
        <v>113</v>
      </c>
      <c r="PPQ67" s="133">
        <v>45845</v>
      </c>
      <c r="PPR67" s="128" t="s">
        <v>41</v>
      </c>
      <c r="PPS67" s="207"/>
      <c r="PPT67" s="134" t="s">
        <v>136</v>
      </c>
      <c r="PPU67" s="205"/>
      <c r="PPV67" s="206"/>
      <c r="PPW67" s="128" t="s">
        <v>24</v>
      </c>
      <c r="PPX67" s="129">
        <v>8150</v>
      </c>
      <c r="PPY67" s="137">
        <v>85</v>
      </c>
      <c r="PPZ67" s="138">
        <v>215</v>
      </c>
      <c r="PQA67" s="138">
        <v>75</v>
      </c>
      <c r="PQB67" s="137">
        <v>150</v>
      </c>
      <c r="PQC67" s="139">
        <f>SUM(PPX67:PQB67)</f>
        <v>8675</v>
      </c>
      <c r="PQD67" s="137">
        <v>200</v>
      </c>
      <c r="PQE67" s="139">
        <f>SUM(PQC67:PQD67)</f>
        <v>8875</v>
      </c>
      <c r="PQF67" s="132" t="s">
        <v>113</v>
      </c>
      <c r="PQG67" s="133">
        <v>45845</v>
      </c>
      <c r="PQH67" s="128" t="s">
        <v>41</v>
      </c>
      <c r="PQI67" s="207"/>
      <c r="PQJ67" s="134" t="s">
        <v>136</v>
      </c>
      <c r="PQK67" s="205"/>
      <c r="PQL67" s="206"/>
      <c r="PQM67" s="128" t="s">
        <v>24</v>
      </c>
      <c r="PQN67" s="129">
        <v>8150</v>
      </c>
      <c r="PQO67" s="137">
        <v>85</v>
      </c>
      <c r="PQP67" s="138">
        <v>215</v>
      </c>
      <c r="PQQ67" s="138">
        <v>75</v>
      </c>
      <c r="PQR67" s="137">
        <v>150</v>
      </c>
      <c r="PQS67" s="139">
        <f>SUM(PQN67:PQR67)</f>
        <v>8675</v>
      </c>
      <c r="PQT67" s="137">
        <v>200</v>
      </c>
      <c r="PQU67" s="139">
        <f>SUM(PQS67:PQT67)</f>
        <v>8875</v>
      </c>
      <c r="PQV67" s="132" t="s">
        <v>113</v>
      </c>
      <c r="PQW67" s="133">
        <v>45845</v>
      </c>
      <c r="PQX67" s="128" t="s">
        <v>41</v>
      </c>
      <c r="PQY67" s="207"/>
      <c r="PQZ67" s="134" t="s">
        <v>136</v>
      </c>
      <c r="PRA67" s="205"/>
      <c r="PRB67" s="206"/>
      <c r="PRC67" s="128" t="s">
        <v>24</v>
      </c>
      <c r="PRD67" s="129">
        <v>8150</v>
      </c>
      <c r="PRE67" s="137">
        <v>85</v>
      </c>
      <c r="PRF67" s="138">
        <v>215</v>
      </c>
      <c r="PRG67" s="138">
        <v>75</v>
      </c>
      <c r="PRH67" s="137">
        <v>150</v>
      </c>
      <c r="PRI67" s="139">
        <f>SUM(PRD67:PRH67)</f>
        <v>8675</v>
      </c>
      <c r="PRJ67" s="137">
        <v>200</v>
      </c>
      <c r="PRK67" s="139">
        <f>SUM(PRI67:PRJ67)</f>
        <v>8875</v>
      </c>
      <c r="PRL67" s="132" t="s">
        <v>113</v>
      </c>
      <c r="PRM67" s="133">
        <v>45845</v>
      </c>
      <c r="PRN67" s="128" t="s">
        <v>41</v>
      </c>
      <c r="PRO67" s="207"/>
      <c r="PRP67" s="134" t="s">
        <v>136</v>
      </c>
      <c r="PRQ67" s="205"/>
      <c r="PRR67" s="206"/>
      <c r="PRS67" s="128" t="s">
        <v>24</v>
      </c>
      <c r="PRT67" s="129">
        <v>8150</v>
      </c>
      <c r="PRU67" s="137">
        <v>85</v>
      </c>
      <c r="PRV67" s="138">
        <v>215</v>
      </c>
      <c r="PRW67" s="138">
        <v>75</v>
      </c>
      <c r="PRX67" s="137">
        <v>150</v>
      </c>
      <c r="PRY67" s="139">
        <f>SUM(PRT67:PRX67)</f>
        <v>8675</v>
      </c>
      <c r="PRZ67" s="137">
        <v>200</v>
      </c>
      <c r="PSA67" s="139">
        <f>SUM(PRY67:PRZ67)</f>
        <v>8875</v>
      </c>
      <c r="PSB67" s="132" t="s">
        <v>113</v>
      </c>
      <c r="PSC67" s="133">
        <v>45845</v>
      </c>
      <c r="PSD67" s="128" t="s">
        <v>41</v>
      </c>
      <c r="PSE67" s="207"/>
      <c r="PSF67" s="134" t="s">
        <v>136</v>
      </c>
      <c r="PSG67" s="205"/>
      <c r="PSH67" s="206"/>
      <c r="PSI67" s="128" t="s">
        <v>24</v>
      </c>
      <c r="PSJ67" s="129">
        <v>8150</v>
      </c>
      <c r="PSK67" s="137">
        <v>85</v>
      </c>
      <c r="PSL67" s="138">
        <v>215</v>
      </c>
      <c r="PSM67" s="138">
        <v>75</v>
      </c>
      <c r="PSN67" s="137">
        <v>150</v>
      </c>
      <c r="PSO67" s="139">
        <f>SUM(PSJ67:PSN67)</f>
        <v>8675</v>
      </c>
      <c r="PSP67" s="137">
        <v>200</v>
      </c>
      <c r="PSQ67" s="139">
        <f>SUM(PSO67:PSP67)</f>
        <v>8875</v>
      </c>
      <c r="PSR67" s="132" t="s">
        <v>113</v>
      </c>
      <c r="PSS67" s="133">
        <v>45845</v>
      </c>
      <c r="PST67" s="128" t="s">
        <v>41</v>
      </c>
      <c r="PSU67" s="207"/>
      <c r="PSV67" s="134" t="s">
        <v>136</v>
      </c>
      <c r="PSW67" s="205"/>
      <c r="PSX67" s="206"/>
      <c r="PSY67" s="128" t="s">
        <v>24</v>
      </c>
      <c r="PSZ67" s="129">
        <v>8150</v>
      </c>
      <c r="PTA67" s="137">
        <v>85</v>
      </c>
      <c r="PTB67" s="138">
        <v>215</v>
      </c>
      <c r="PTC67" s="138">
        <v>75</v>
      </c>
      <c r="PTD67" s="137">
        <v>150</v>
      </c>
      <c r="PTE67" s="139">
        <f>SUM(PSZ67:PTD67)</f>
        <v>8675</v>
      </c>
      <c r="PTF67" s="137">
        <v>200</v>
      </c>
      <c r="PTG67" s="139">
        <f>SUM(PTE67:PTF67)</f>
        <v>8875</v>
      </c>
      <c r="PTH67" s="132" t="s">
        <v>113</v>
      </c>
      <c r="PTI67" s="133">
        <v>45845</v>
      </c>
      <c r="PTJ67" s="128" t="s">
        <v>41</v>
      </c>
      <c r="PTK67" s="207"/>
      <c r="PTL67" s="134" t="s">
        <v>136</v>
      </c>
      <c r="PTM67" s="205"/>
      <c r="PTN67" s="206"/>
      <c r="PTO67" s="128" t="s">
        <v>24</v>
      </c>
      <c r="PTP67" s="129">
        <v>8150</v>
      </c>
      <c r="PTQ67" s="137">
        <v>85</v>
      </c>
      <c r="PTR67" s="138">
        <v>215</v>
      </c>
      <c r="PTS67" s="138">
        <v>75</v>
      </c>
      <c r="PTT67" s="137">
        <v>150</v>
      </c>
      <c r="PTU67" s="139">
        <f>SUM(PTP67:PTT67)</f>
        <v>8675</v>
      </c>
      <c r="PTV67" s="137">
        <v>200</v>
      </c>
      <c r="PTW67" s="139">
        <f>SUM(PTU67:PTV67)</f>
        <v>8875</v>
      </c>
      <c r="PTX67" s="132" t="s">
        <v>113</v>
      </c>
      <c r="PTY67" s="133">
        <v>45845</v>
      </c>
      <c r="PTZ67" s="128" t="s">
        <v>41</v>
      </c>
      <c r="PUA67" s="207"/>
      <c r="PUB67" s="134" t="s">
        <v>136</v>
      </c>
      <c r="PUC67" s="205"/>
      <c r="PUD67" s="206"/>
      <c r="PUE67" s="128" t="s">
        <v>24</v>
      </c>
      <c r="PUF67" s="129">
        <v>8150</v>
      </c>
      <c r="PUG67" s="137">
        <v>85</v>
      </c>
      <c r="PUH67" s="138">
        <v>215</v>
      </c>
      <c r="PUI67" s="138">
        <v>75</v>
      </c>
      <c r="PUJ67" s="137">
        <v>150</v>
      </c>
      <c r="PUK67" s="139">
        <f>SUM(PUF67:PUJ67)</f>
        <v>8675</v>
      </c>
      <c r="PUL67" s="137">
        <v>200</v>
      </c>
      <c r="PUM67" s="139">
        <f>SUM(PUK67:PUL67)</f>
        <v>8875</v>
      </c>
      <c r="PUN67" s="132" t="s">
        <v>113</v>
      </c>
      <c r="PUO67" s="133">
        <v>45845</v>
      </c>
      <c r="PUP67" s="128" t="s">
        <v>41</v>
      </c>
      <c r="PUQ67" s="207"/>
      <c r="PUR67" s="134" t="s">
        <v>136</v>
      </c>
      <c r="PUS67" s="205"/>
      <c r="PUT67" s="206"/>
      <c r="PUU67" s="128" t="s">
        <v>24</v>
      </c>
      <c r="PUV67" s="129">
        <v>8150</v>
      </c>
      <c r="PUW67" s="137">
        <v>85</v>
      </c>
      <c r="PUX67" s="138">
        <v>215</v>
      </c>
      <c r="PUY67" s="138">
        <v>75</v>
      </c>
      <c r="PUZ67" s="137">
        <v>150</v>
      </c>
      <c r="PVA67" s="139">
        <f>SUM(PUV67:PUZ67)</f>
        <v>8675</v>
      </c>
      <c r="PVB67" s="137">
        <v>200</v>
      </c>
      <c r="PVC67" s="139">
        <f>SUM(PVA67:PVB67)</f>
        <v>8875</v>
      </c>
      <c r="PVD67" s="132" t="s">
        <v>113</v>
      </c>
      <c r="PVE67" s="133">
        <v>45845</v>
      </c>
      <c r="PVF67" s="128" t="s">
        <v>41</v>
      </c>
      <c r="PVG67" s="207"/>
      <c r="PVH67" s="134" t="s">
        <v>136</v>
      </c>
      <c r="PVI67" s="205"/>
      <c r="PVJ67" s="206"/>
      <c r="PVK67" s="128" t="s">
        <v>24</v>
      </c>
      <c r="PVL67" s="129">
        <v>8150</v>
      </c>
      <c r="PVM67" s="137">
        <v>85</v>
      </c>
      <c r="PVN67" s="138">
        <v>215</v>
      </c>
      <c r="PVO67" s="138">
        <v>75</v>
      </c>
      <c r="PVP67" s="137">
        <v>150</v>
      </c>
      <c r="PVQ67" s="139">
        <f>SUM(PVL67:PVP67)</f>
        <v>8675</v>
      </c>
      <c r="PVR67" s="137">
        <v>200</v>
      </c>
      <c r="PVS67" s="139">
        <f>SUM(PVQ67:PVR67)</f>
        <v>8875</v>
      </c>
      <c r="PVT67" s="132" t="s">
        <v>113</v>
      </c>
      <c r="PVU67" s="133">
        <v>45845</v>
      </c>
      <c r="PVV67" s="128" t="s">
        <v>41</v>
      </c>
      <c r="PVW67" s="207"/>
      <c r="PVX67" s="134" t="s">
        <v>136</v>
      </c>
      <c r="PVY67" s="205"/>
      <c r="PVZ67" s="206"/>
      <c r="PWA67" s="128" t="s">
        <v>24</v>
      </c>
      <c r="PWB67" s="129">
        <v>8150</v>
      </c>
      <c r="PWC67" s="137">
        <v>85</v>
      </c>
      <c r="PWD67" s="138">
        <v>215</v>
      </c>
      <c r="PWE67" s="138">
        <v>75</v>
      </c>
      <c r="PWF67" s="137">
        <v>150</v>
      </c>
      <c r="PWG67" s="139">
        <f>SUM(PWB67:PWF67)</f>
        <v>8675</v>
      </c>
      <c r="PWH67" s="137">
        <v>200</v>
      </c>
      <c r="PWI67" s="139">
        <f>SUM(PWG67:PWH67)</f>
        <v>8875</v>
      </c>
      <c r="PWJ67" s="132" t="s">
        <v>113</v>
      </c>
      <c r="PWK67" s="133">
        <v>45845</v>
      </c>
      <c r="PWL67" s="128" t="s">
        <v>41</v>
      </c>
      <c r="PWM67" s="207"/>
      <c r="PWN67" s="134" t="s">
        <v>136</v>
      </c>
      <c r="PWO67" s="205"/>
      <c r="PWP67" s="206"/>
      <c r="PWQ67" s="128" t="s">
        <v>24</v>
      </c>
      <c r="PWR67" s="129">
        <v>8150</v>
      </c>
      <c r="PWS67" s="137">
        <v>85</v>
      </c>
      <c r="PWT67" s="138">
        <v>215</v>
      </c>
      <c r="PWU67" s="138">
        <v>75</v>
      </c>
      <c r="PWV67" s="137">
        <v>150</v>
      </c>
      <c r="PWW67" s="139">
        <f>SUM(PWR67:PWV67)</f>
        <v>8675</v>
      </c>
      <c r="PWX67" s="137">
        <v>200</v>
      </c>
      <c r="PWY67" s="139">
        <f>SUM(PWW67:PWX67)</f>
        <v>8875</v>
      </c>
      <c r="PWZ67" s="132" t="s">
        <v>113</v>
      </c>
      <c r="PXA67" s="133">
        <v>45845</v>
      </c>
      <c r="PXB67" s="128" t="s">
        <v>41</v>
      </c>
      <c r="PXC67" s="207"/>
      <c r="PXD67" s="134" t="s">
        <v>136</v>
      </c>
      <c r="PXE67" s="205"/>
      <c r="PXF67" s="206"/>
      <c r="PXG67" s="128" t="s">
        <v>24</v>
      </c>
      <c r="PXH67" s="129">
        <v>8150</v>
      </c>
      <c r="PXI67" s="137">
        <v>85</v>
      </c>
      <c r="PXJ67" s="138">
        <v>215</v>
      </c>
      <c r="PXK67" s="138">
        <v>75</v>
      </c>
      <c r="PXL67" s="137">
        <v>150</v>
      </c>
      <c r="PXM67" s="139">
        <f>SUM(PXH67:PXL67)</f>
        <v>8675</v>
      </c>
      <c r="PXN67" s="137">
        <v>200</v>
      </c>
      <c r="PXO67" s="139">
        <f>SUM(PXM67:PXN67)</f>
        <v>8875</v>
      </c>
      <c r="PXP67" s="132" t="s">
        <v>113</v>
      </c>
      <c r="PXQ67" s="133">
        <v>45845</v>
      </c>
      <c r="PXR67" s="128" t="s">
        <v>41</v>
      </c>
      <c r="PXS67" s="207"/>
      <c r="PXT67" s="134" t="s">
        <v>136</v>
      </c>
      <c r="PXU67" s="205"/>
      <c r="PXV67" s="206"/>
      <c r="PXW67" s="128" t="s">
        <v>24</v>
      </c>
      <c r="PXX67" s="129">
        <v>8150</v>
      </c>
      <c r="PXY67" s="137">
        <v>85</v>
      </c>
      <c r="PXZ67" s="138">
        <v>215</v>
      </c>
      <c r="PYA67" s="138">
        <v>75</v>
      </c>
      <c r="PYB67" s="137">
        <v>150</v>
      </c>
      <c r="PYC67" s="139">
        <f>SUM(PXX67:PYB67)</f>
        <v>8675</v>
      </c>
      <c r="PYD67" s="137">
        <v>200</v>
      </c>
      <c r="PYE67" s="139">
        <f>SUM(PYC67:PYD67)</f>
        <v>8875</v>
      </c>
      <c r="PYF67" s="132" t="s">
        <v>113</v>
      </c>
      <c r="PYG67" s="133">
        <v>45845</v>
      </c>
      <c r="PYH67" s="128" t="s">
        <v>41</v>
      </c>
      <c r="PYI67" s="207"/>
      <c r="PYJ67" s="134" t="s">
        <v>136</v>
      </c>
      <c r="PYK67" s="205"/>
      <c r="PYL67" s="206"/>
      <c r="PYM67" s="128" t="s">
        <v>24</v>
      </c>
      <c r="PYN67" s="129">
        <v>8150</v>
      </c>
      <c r="PYO67" s="137">
        <v>85</v>
      </c>
      <c r="PYP67" s="138">
        <v>215</v>
      </c>
      <c r="PYQ67" s="138">
        <v>75</v>
      </c>
      <c r="PYR67" s="137">
        <v>150</v>
      </c>
      <c r="PYS67" s="139">
        <f>SUM(PYN67:PYR67)</f>
        <v>8675</v>
      </c>
      <c r="PYT67" s="137">
        <v>200</v>
      </c>
      <c r="PYU67" s="139">
        <f>SUM(PYS67:PYT67)</f>
        <v>8875</v>
      </c>
      <c r="PYV67" s="132" t="s">
        <v>113</v>
      </c>
      <c r="PYW67" s="133">
        <v>45845</v>
      </c>
      <c r="PYX67" s="128" t="s">
        <v>41</v>
      </c>
      <c r="PYY67" s="207"/>
      <c r="PYZ67" s="134" t="s">
        <v>136</v>
      </c>
      <c r="PZA67" s="205"/>
      <c r="PZB67" s="206"/>
      <c r="PZC67" s="128" t="s">
        <v>24</v>
      </c>
      <c r="PZD67" s="129">
        <v>8150</v>
      </c>
      <c r="PZE67" s="137">
        <v>85</v>
      </c>
      <c r="PZF67" s="138">
        <v>215</v>
      </c>
      <c r="PZG67" s="138">
        <v>75</v>
      </c>
      <c r="PZH67" s="137">
        <v>150</v>
      </c>
      <c r="PZI67" s="139">
        <f>SUM(PZD67:PZH67)</f>
        <v>8675</v>
      </c>
      <c r="PZJ67" s="137">
        <v>200</v>
      </c>
      <c r="PZK67" s="139">
        <f>SUM(PZI67:PZJ67)</f>
        <v>8875</v>
      </c>
      <c r="PZL67" s="132" t="s">
        <v>113</v>
      </c>
      <c r="PZM67" s="133">
        <v>45845</v>
      </c>
      <c r="PZN67" s="128" t="s">
        <v>41</v>
      </c>
      <c r="PZO67" s="207"/>
      <c r="PZP67" s="134" t="s">
        <v>136</v>
      </c>
      <c r="PZQ67" s="205"/>
      <c r="PZR67" s="206"/>
      <c r="PZS67" s="128" t="s">
        <v>24</v>
      </c>
      <c r="PZT67" s="129">
        <v>8150</v>
      </c>
      <c r="PZU67" s="137">
        <v>85</v>
      </c>
      <c r="PZV67" s="138">
        <v>215</v>
      </c>
      <c r="PZW67" s="138">
        <v>75</v>
      </c>
      <c r="PZX67" s="137">
        <v>150</v>
      </c>
      <c r="PZY67" s="139">
        <f>SUM(PZT67:PZX67)</f>
        <v>8675</v>
      </c>
      <c r="PZZ67" s="137">
        <v>200</v>
      </c>
      <c r="QAA67" s="139">
        <f>SUM(PZY67:PZZ67)</f>
        <v>8875</v>
      </c>
      <c r="QAB67" s="132" t="s">
        <v>113</v>
      </c>
      <c r="QAC67" s="133">
        <v>45845</v>
      </c>
      <c r="QAD67" s="128" t="s">
        <v>41</v>
      </c>
      <c r="QAE67" s="207"/>
      <c r="QAF67" s="134" t="s">
        <v>136</v>
      </c>
      <c r="QAG67" s="205"/>
      <c r="QAH67" s="206"/>
      <c r="QAI67" s="128" t="s">
        <v>24</v>
      </c>
      <c r="QAJ67" s="129">
        <v>8150</v>
      </c>
      <c r="QAK67" s="137">
        <v>85</v>
      </c>
      <c r="QAL67" s="138">
        <v>215</v>
      </c>
      <c r="QAM67" s="138">
        <v>75</v>
      </c>
      <c r="QAN67" s="137">
        <v>150</v>
      </c>
      <c r="QAO67" s="139">
        <f>SUM(QAJ67:QAN67)</f>
        <v>8675</v>
      </c>
      <c r="QAP67" s="137">
        <v>200</v>
      </c>
      <c r="QAQ67" s="139">
        <f>SUM(QAO67:QAP67)</f>
        <v>8875</v>
      </c>
      <c r="QAR67" s="132" t="s">
        <v>113</v>
      </c>
      <c r="QAS67" s="133">
        <v>45845</v>
      </c>
      <c r="QAT67" s="128" t="s">
        <v>41</v>
      </c>
      <c r="QAU67" s="207"/>
      <c r="QAV67" s="134" t="s">
        <v>136</v>
      </c>
      <c r="QAW67" s="205"/>
      <c r="QAX67" s="206"/>
      <c r="QAY67" s="128" t="s">
        <v>24</v>
      </c>
      <c r="QAZ67" s="129">
        <v>8150</v>
      </c>
      <c r="QBA67" s="137">
        <v>85</v>
      </c>
      <c r="QBB67" s="138">
        <v>215</v>
      </c>
      <c r="QBC67" s="138">
        <v>75</v>
      </c>
      <c r="QBD67" s="137">
        <v>150</v>
      </c>
      <c r="QBE67" s="139">
        <f>SUM(QAZ67:QBD67)</f>
        <v>8675</v>
      </c>
      <c r="QBF67" s="137">
        <v>200</v>
      </c>
      <c r="QBG67" s="139">
        <f>SUM(QBE67:QBF67)</f>
        <v>8875</v>
      </c>
      <c r="QBH67" s="132" t="s">
        <v>113</v>
      </c>
      <c r="QBI67" s="133">
        <v>45845</v>
      </c>
      <c r="QBJ67" s="128" t="s">
        <v>41</v>
      </c>
      <c r="QBK67" s="207"/>
      <c r="QBL67" s="134" t="s">
        <v>136</v>
      </c>
      <c r="QBM67" s="205"/>
      <c r="QBN67" s="206"/>
      <c r="QBO67" s="128" t="s">
        <v>24</v>
      </c>
      <c r="QBP67" s="129">
        <v>8150</v>
      </c>
      <c r="QBQ67" s="137">
        <v>85</v>
      </c>
      <c r="QBR67" s="138">
        <v>215</v>
      </c>
      <c r="QBS67" s="138">
        <v>75</v>
      </c>
      <c r="QBT67" s="137">
        <v>150</v>
      </c>
      <c r="QBU67" s="139">
        <f>SUM(QBP67:QBT67)</f>
        <v>8675</v>
      </c>
      <c r="QBV67" s="137">
        <v>200</v>
      </c>
      <c r="QBW67" s="139">
        <f>SUM(QBU67:QBV67)</f>
        <v>8875</v>
      </c>
      <c r="QBX67" s="132" t="s">
        <v>113</v>
      </c>
      <c r="QBY67" s="133">
        <v>45845</v>
      </c>
      <c r="QBZ67" s="128" t="s">
        <v>41</v>
      </c>
      <c r="QCA67" s="207"/>
      <c r="QCB67" s="134" t="s">
        <v>136</v>
      </c>
      <c r="QCC67" s="205"/>
      <c r="QCD67" s="206"/>
      <c r="QCE67" s="128" t="s">
        <v>24</v>
      </c>
      <c r="QCF67" s="129">
        <v>8150</v>
      </c>
      <c r="QCG67" s="137">
        <v>85</v>
      </c>
      <c r="QCH67" s="138">
        <v>215</v>
      </c>
      <c r="QCI67" s="138">
        <v>75</v>
      </c>
      <c r="QCJ67" s="137">
        <v>150</v>
      </c>
      <c r="QCK67" s="139">
        <f>SUM(QCF67:QCJ67)</f>
        <v>8675</v>
      </c>
      <c r="QCL67" s="137">
        <v>200</v>
      </c>
      <c r="QCM67" s="139">
        <f>SUM(QCK67:QCL67)</f>
        <v>8875</v>
      </c>
      <c r="QCN67" s="132" t="s">
        <v>113</v>
      </c>
      <c r="QCO67" s="133">
        <v>45845</v>
      </c>
      <c r="QCP67" s="128" t="s">
        <v>41</v>
      </c>
      <c r="QCQ67" s="207"/>
      <c r="QCR67" s="134" t="s">
        <v>136</v>
      </c>
      <c r="QCS67" s="205"/>
      <c r="QCT67" s="206"/>
      <c r="QCU67" s="128" t="s">
        <v>24</v>
      </c>
      <c r="QCV67" s="129">
        <v>8150</v>
      </c>
      <c r="QCW67" s="137">
        <v>85</v>
      </c>
      <c r="QCX67" s="138">
        <v>215</v>
      </c>
      <c r="QCY67" s="138">
        <v>75</v>
      </c>
      <c r="QCZ67" s="137">
        <v>150</v>
      </c>
      <c r="QDA67" s="139">
        <f>SUM(QCV67:QCZ67)</f>
        <v>8675</v>
      </c>
      <c r="QDB67" s="137">
        <v>200</v>
      </c>
      <c r="QDC67" s="139">
        <f>SUM(QDA67:QDB67)</f>
        <v>8875</v>
      </c>
      <c r="QDD67" s="132" t="s">
        <v>113</v>
      </c>
      <c r="QDE67" s="133">
        <v>45845</v>
      </c>
      <c r="QDF67" s="128" t="s">
        <v>41</v>
      </c>
      <c r="QDG67" s="207"/>
      <c r="QDH67" s="134" t="s">
        <v>136</v>
      </c>
      <c r="QDI67" s="205"/>
      <c r="QDJ67" s="206"/>
      <c r="QDK67" s="128" t="s">
        <v>24</v>
      </c>
      <c r="QDL67" s="129">
        <v>8150</v>
      </c>
      <c r="QDM67" s="137">
        <v>85</v>
      </c>
      <c r="QDN67" s="138">
        <v>215</v>
      </c>
      <c r="QDO67" s="138">
        <v>75</v>
      </c>
      <c r="QDP67" s="137">
        <v>150</v>
      </c>
      <c r="QDQ67" s="139">
        <f>SUM(QDL67:QDP67)</f>
        <v>8675</v>
      </c>
      <c r="QDR67" s="137">
        <v>200</v>
      </c>
      <c r="QDS67" s="139">
        <f>SUM(QDQ67:QDR67)</f>
        <v>8875</v>
      </c>
      <c r="QDT67" s="132" t="s">
        <v>113</v>
      </c>
      <c r="QDU67" s="133">
        <v>45845</v>
      </c>
      <c r="QDV67" s="128" t="s">
        <v>41</v>
      </c>
      <c r="QDW67" s="207"/>
      <c r="QDX67" s="134" t="s">
        <v>136</v>
      </c>
      <c r="QDY67" s="205"/>
      <c r="QDZ67" s="206"/>
      <c r="QEA67" s="128" t="s">
        <v>24</v>
      </c>
      <c r="QEB67" s="129">
        <v>8150</v>
      </c>
      <c r="QEC67" s="137">
        <v>85</v>
      </c>
      <c r="QED67" s="138">
        <v>215</v>
      </c>
      <c r="QEE67" s="138">
        <v>75</v>
      </c>
      <c r="QEF67" s="137">
        <v>150</v>
      </c>
      <c r="QEG67" s="139">
        <f>SUM(QEB67:QEF67)</f>
        <v>8675</v>
      </c>
      <c r="QEH67" s="137">
        <v>200</v>
      </c>
      <c r="QEI67" s="139">
        <f>SUM(QEG67:QEH67)</f>
        <v>8875</v>
      </c>
      <c r="QEJ67" s="132" t="s">
        <v>113</v>
      </c>
      <c r="QEK67" s="133">
        <v>45845</v>
      </c>
      <c r="QEL67" s="128" t="s">
        <v>41</v>
      </c>
      <c r="QEM67" s="207"/>
      <c r="QEN67" s="134" t="s">
        <v>136</v>
      </c>
      <c r="QEO67" s="205"/>
      <c r="QEP67" s="206"/>
      <c r="QEQ67" s="128" t="s">
        <v>24</v>
      </c>
      <c r="QER67" s="129">
        <v>8150</v>
      </c>
      <c r="QES67" s="137">
        <v>85</v>
      </c>
      <c r="QET67" s="138">
        <v>215</v>
      </c>
      <c r="QEU67" s="138">
        <v>75</v>
      </c>
      <c r="QEV67" s="137">
        <v>150</v>
      </c>
      <c r="QEW67" s="139">
        <f>SUM(QER67:QEV67)</f>
        <v>8675</v>
      </c>
      <c r="QEX67" s="137">
        <v>200</v>
      </c>
      <c r="QEY67" s="139">
        <f>SUM(QEW67:QEX67)</f>
        <v>8875</v>
      </c>
      <c r="QEZ67" s="132" t="s">
        <v>113</v>
      </c>
      <c r="QFA67" s="133">
        <v>45845</v>
      </c>
      <c r="QFB67" s="128" t="s">
        <v>41</v>
      </c>
      <c r="QFC67" s="207"/>
      <c r="QFD67" s="134" t="s">
        <v>136</v>
      </c>
      <c r="QFE67" s="205"/>
      <c r="QFF67" s="206"/>
      <c r="QFG67" s="128" t="s">
        <v>24</v>
      </c>
      <c r="QFH67" s="129">
        <v>8150</v>
      </c>
      <c r="QFI67" s="137">
        <v>85</v>
      </c>
      <c r="QFJ67" s="138">
        <v>215</v>
      </c>
      <c r="QFK67" s="138">
        <v>75</v>
      </c>
      <c r="QFL67" s="137">
        <v>150</v>
      </c>
      <c r="QFM67" s="139">
        <f>SUM(QFH67:QFL67)</f>
        <v>8675</v>
      </c>
      <c r="QFN67" s="137">
        <v>200</v>
      </c>
      <c r="QFO67" s="139">
        <f>SUM(QFM67:QFN67)</f>
        <v>8875</v>
      </c>
      <c r="QFP67" s="132" t="s">
        <v>113</v>
      </c>
      <c r="QFQ67" s="133">
        <v>45845</v>
      </c>
      <c r="QFR67" s="128" t="s">
        <v>41</v>
      </c>
      <c r="QFS67" s="207"/>
      <c r="QFT67" s="134" t="s">
        <v>136</v>
      </c>
      <c r="QFU67" s="205"/>
      <c r="QFV67" s="206"/>
      <c r="QFW67" s="128" t="s">
        <v>24</v>
      </c>
      <c r="QFX67" s="129">
        <v>8150</v>
      </c>
      <c r="QFY67" s="137">
        <v>85</v>
      </c>
      <c r="QFZ67" s="138">
        <v>215</v>
      </c>
      <c r="QGA67" s="138">
        <v>75</v>
      </c>
      <c r="QGB67" s="137">
        <v>150</v>
      </c>
      <c r="QGC67" s="139">
        <f>SUM(QFX67:QGB67)</f>
        <v>8675</v>
      </c>
      <c r="QGD67" s="137">
        <v>200</v>
      </c>
      <c r="QGE67" s="139">
        <f>SUM(QGC67:QGD67)</f>
        <v>8875</v>
      </c>
      <c r="QGF67" s="132" t="s">
        <v>113</v>
      </c>
      <c r="QGG67" s="133">
        <v>45845</v>
      </c>
      <c r="QGH67" s="128" t="s">
        <v>41</v>
      </c>
      <c r="QGI67" s="207"/>
      <c r="QGJ67" s="134" t="s">
        <v>136</v>
      </c>
      <c r="QGK67" s="205"/>
      <c r="QGL67" s="206"/>
      <c r="QGM67" s="128" t="s">
        <v>24</v>
      </c>
      <c r="QGN67" s="129">
        <v>8150</v>
      </c>
      <c r="QGO67" s="137">
        <v>85</v>
      </c>
      <c r="QGP67" s="138">
        <v>215</v>
      </c>
      <c r="QGQ67" s="138">
        <v>75</v>
      </c>
      <c r="QGR67" s="137">
        <v>150</v>
      </c>
      <c r="QGS67" s="139">
        <f>SUM(QGN67:QGR67)</f>
        <v>8675</v>
      </c>
      <c r="QGT67" s="137">
        <v>200</v>
      </c>
      <c r="QGU67" s="139">
        <f>SUM(QGS67:QGT67)</f>
        <v>8875</v>
      </c>
      <c r="QGV67" s="132" t="s">
        <v>113</v>
      </c>
      <c r="QGW67" s="133">
        <v>45845</v>
      </c>
      <c r="QGX67" s="128" t="s">
        <v>41</v>
      </c>
      <c r="QGY67" s="207"/>
      <c r="QGZ67" s="134" t="s">
        <v>136</v>
      </c>
      <c r="QHA67" s="205"/>
      <c r="QHB67" s="206"/>
      <c r="QHC67" s="128" t="s">
        <v>24</v>
      </c>
      <c r="QHD67" s="129">
        <v>8150</v>
      </c>
      <c r="QHE67" s="137">
        <v>85</v>
      </c>
      <c r="QHF67" s="138">
        <v>215</v>
      </c>
      <c r="QHG67" s="138">
        <v>75</v>
      </c>
      <c r="QHH67" s="137">
        <v>150</v>
      </c>
      <c r="QHI67" s="139">
        <f>SUM(QHD67:QHH67)</f>
        <v>8675</v>
      </c>
      <c r="QHJ67" s="137">
        <v>200</v>
      </c>
      <c r="QHK67" s="139">
        <f>SUM(QHI67:QHJ67)</f>
        <v>8875</v>
      </c>
      <c r="QHL67" s="132" t="s">
        <v>113</v>
      </c>
      <c r="QHM67" s="133">
        <v>45845</v>
      </c>
      <c r="QHN67" s="128" t="s">
        <v>41</v>
      </c>
      <c r="QHO67" s="207"/>
      <c r="QHP67" s="134" t="s">
        <v>136</v>
      </c>
      <c r="QHQ67" s="205"/>
      <c r="QHR67" s="206"/>
      <c r="QHS67" s="128" t="s">
        <v>24</v>
      </c>
      <c r="QHT67" s="129">
        <v>8150</v>
      </c>
      <c r="QHU67" s="137">
        <v>85</v>
      </c>
      <c r="QHV67" s="138">
        <v>215</v>
      </c>
      <c r="QHW67" s="138">
        <v>75</v>
      </c>
      <c r="QHX67" s="137">
        <v>150</v>
      </c>
      <c r="QHY67" s="139">
        <f>SUM(QHT67:QHX67)</f>
        <v>8675</v>
      </c>
      <c r="QHZ67" s="137">
        <v>200</v>
      </c>
      <c r="QIA67" s="139">
        <f>SUM(QHY67:QHZ67)</f>
        <v>8875</v>
      </c>
      <c r="QIB67" s="132" t="s">
        <v>113</v>
      </c>
      <c r="QIC67" s="133">
        <v>45845</v>
      </c>
      <c r="QID67" s="128" t="s">
        <v>41</v>
      </c>
      <c r="QIE67" s="207"/>
      <c r="QIF67" s="134" t="s">
        <v>136</v>
      </c>
      <c r="QIG67" s="205"/>
      <c r="QIH67" s="206"/>
      <c r="QII67" s="128" t="s">
        <v>24</v>
      </c>
      <c r="QIJ67" s="129">
        <v>8150</v>
      </c>
      <c r="QIK67" s="137">
        <v>85</v>
      </c>
      <c r="QIL67" s="138">
        <v>215</v>
      </c>
      <c r="QIM67" s="138">
        <v>75</v>
      </c>
      <c r="QIN67" s="137">
        <v>150</v>
      </c>
      <c r="QIO67" s="139">
        <f>SUM(QIJ67:QIN67)</f>
        <v>8675</v>
      </c>
      <c r="QIP67" s="137">
        <v>200</v>
      </c>
      <c r="QIQ67" s="139">
        <f>SUM(QIO67:QIP67)</f>
        <v>8875</v>
      </c>
      <c r="QIR67" s="132" t="s">
        <v>113</v>
      </c>
      <c r="QIS67" s="133">
        <v>45845</v>
      </c>
      <c r="QIT67" s="128" t="s">
        <v>41</v>
      </c>
      <c r="QIU67" s="207"/>
      <c r="QIV67" s="134" t="s">
        <v>136</v>
      </c>
      <c r="QIW67" s="205"/>
      <c r="QIX67" s="206"/>
      <c r="QIY67" s="128" t="s">
        <v>24</v>
      </c>
      <c r="QIZ67" s="129">
        <v>8150</v>
      </c>
      <c r="QJA67" s="137">
        <v>85</v>
      </c>
      <c r="QJB67" s="138">
        <v>215</v>
      </c>
      <c r="QJC67" s="138">
        <v>75</v>
      </c>
      <c r="QJD67" s="137">
        <v>150</v>
      </c>
      <c r="QJE67" s="139">
        <f>SUM(QIZ67:QJD67)</f>
        <v>8675</v>
      </c>
      <c r="QJF67" s="137">
        <v>200</v>
      </c>
      <c r="QJG67" s="139">
        <f>SUM(QJE67:QJF67)</f>
        <v>8875</v>
      </c>
      <c r="QJH67" s="132" t="s">
        <v>113</v>
      </c>
      <c r="QJI67" s="133">
        <v>45845</v>
      </c>
      <c r="QJJ67" s="128" t="s">
        <v>41</v>
      </c>
      <c r="QJK67" s="207"/>
      <c r="QJL67" s="134" t="s">
        <v>136</v>
      </c>
      <c r="QJM67" s="205"/>
      <c r="QJN67" s="206"/>
      <c r="QJO67" s="128" t="s">
        <v>24</v>
      </c>
      <c r="QJP67" s="129">
        <v>8150</v>
      </c>
      <c r="QJQ67" s="137">
        <v>85</v>
      </c>
      <c r="QJR67" s="138">
        <v>215</v>
      </c>
      <c r="QJS67" s="138">
        <v>75</v>
      </c>
      <c r="QJT67" s="137">
        <v>150</v>
      </c>
      <c r="QJU67" s="139">
        <f>SUM(QJP67:QJT67)</f>
        <v>8675</v>
      </c>
      <c r="QJV67" s="137">
        <v>200</v>
      </c>
      <c r="QJW67" s="139">
        <f>SUM(QJU67:QJV67)</f>
        <v>8875</v>
      </c>
      <c r="QJX67" s="132" t="s">
        <v>113</v>
      </c>
      <c r="QJY67" s="133">
        <v>45845</v>
      </c>
      <c r="QJZ67" s="128" t="s">
        <v>41</v>
      </c>
      <c r="QKA67" s="207"/>
      <c r="QKB67" s="134" t="s">
        <v>136</v>
      </c>
      <c r="QKC67" s="205"/>
      <c r="QKD67" s="206"/>
      <c r="QKE67" s="128" t="s">
        <v>24</v>
      </c>
      <c r="QKF67" s="129">
        <v>8150</v>
      </c>
      <c r="QKG67" s="137">
        <v>85</v>
      </c>
      <c r="QKH67" s="138">
        <v>215</v>
      </c>
      <c r="QKI67" s="138">
        <v>75</v>
      </c>
      <c r="QKJ67" s="137">
        <v>150</v>
      </c>
      <c r="QKK67" s="139">
        <f>SUM(QKF67:QKJ67)</f>
        <v>8675</v>
      </c>
      <c r="QKL67" s="137">
        <v>200</v>
      </c>
      <c r="QKM67" s="139">
        <f>SUM(QKK67:QKL67)</f>
        <v>8875</v>
      </c>
      <c r="QKN67" s="132" t="s">
        <v>113</v>
      </c>
      <c r="QKO67" s="133">
        <v>45845</v>
      </c>
      <c r="QKP67" s="128" t="s">
        <v>41</v>
      </c>
      <c r="QKQ67" s="207"/>
      <c r="QKR67" s="134" t="s">
        <v>136</v>
      </c>
      <c r="QKS67" s="205"/>
      <c r="QKT67" s="206"/>
      <c r="QKU67" s="128" t="s">
        <v>24</v>
      </c>
      <c r="QKV67" s="129">
        <v>8150</v>
      </c>
      <c r="QKW67" s="137">
        <v>85</v>
      </c>
      <c r="QKX67" s="138">
        <v>215</v>
      </c>
      <c r="QKY67" s="138">
        <v>75</v>
      </c>
      <c r="QKZ67" s="137">
        <v>150</v>
      </c>
      <c r="QLA67" s="139">
        <f>SUM(QKV67:QKZ67)</f>
        <v>8675</v>
      </c>
      <c r="QLB67" s="137">
        <v>200</v>
      </c>
      <c r="QLC67" s="139">
        <f>SUM(QLA67:QLB67)</f>
        <v>8875</v>
      </c>
      <c r="QLD67" s="132" t="s">
        <v>113</v>
      </c>
      <c r="QLE67" s="133">
        <v>45845</v>
      </c>
      <c r="QLF67" s="128" t="s">
        <v>41</v>
      </c>
      <c r="QLG67" s="207"/>
      <c r="QLH67" s="134" t="s">
        <v>136</v>
      </c>
      <c r="QLI67" s="205"/>
      <c r="QLJ67" s="206"/>
      <c r="QLK67" s="128" t="s">
        <v>24</v>
      </c>
      <c r="QLL67" s="129">
        <v>8150</v>
      </c>
      <c r="QLM67" s="137">
        <v>85</v>
      </c>
      <c r="QLN67" s="138">
        <v>215</v>
      </c>
      <c r="QLO67" s="138">
        <v>75</v>
      </c>
      <c r="QLP67" s="137">
        <v>150</v>
      </c>
      <c r="QLQ67" s="139">
        <f>SUM(QLL67:QLP67)</f>
        <v>8675</v>
      </c>
      <c r="QLR67" s="137">
        <v>200</v>
      </c>
      <c r="QLS67" s="139">
        <f>SUM(QLQ67:QLR67)</f>
        <v>8875</v>
      </c>
      <c r="QLT67" s="132" t="s">
        <v>113</v>
      </c>
      <c r="QLU67" s="133">
        <v>45845</v>
      </c>
      <c r="QLV67" s="128" t="s">
        <v>41</v>
      </c>
      <c r="QLW67" s="207"/>
      <c r="QLX67" s="134" t="s">
        <v>136</v>
      </c>
      <c r="QLY67" s="205"/>
      <c r="QLZ67" s="206"/>
      <c r="QMA67" s="128" t="s">
        <v>24</v>
      </c>
      <c r="QMB67" s="129">
        <v>8150</v>
      </c>
      <c r="QMC67" s="137">
        <v>85</v>
      </c>
      <c r="QMD67" s="138">
        <v>215</v>
      </c>
      <c r="QME67" s="138">
        <v>75</v>
      </c>
      <c r="QMF67" s="137">
        <v>150</v>
      </c>
      <c r="QMG67" s="139">
        <f>SUM(QMB67:QMF67)</f>
        <v>8675</v>
      </c>
      <c r="QMH67" s="137">
        <v>200</v>
      </c>
      <c r="QMI67" s="139">
        <f>SUM(QMG67:QMH67)</f>
        <v>8875</v>
      </c>
      <c r="QMJ67" s="132" t="s">
        <v>113</v>
      </c>
      <c r="QMK67" s="133">
        <v>45845</v>
      </c>
      <c r="QML67" s="128" t="s">
        <v>41</v>
      </c>
      <c r="QMM67" s="207"/>
      <c r="QMN67" s="134" t="s">
        <v>136</v>
      </c>
      <c r="QMO67" s="205"/>
      <c r="QMP67" s="206"/>
      <c r="QMQ67" s="128" t="s">
        <v>24</v>
      </c>
      <c r="QMR67" s="129">
        <v>8150</v>
      </c>
      <c r="QMS67" s="137">
        <v>85</v>
      </c>
      <c r="QMT67" s="138">
        <v>215</v>
      </c>
      <c r="QMU67" s="138">
        <v>75</v>
      </c>
      <c r="QMV67" s="137">
        <v>150</v>
      </c>
      <c r="QMW67" s="139">
        <f>SUM(QMR67:QMV67)</f>
        <v>8675</v>
      </c>
      <c r="QMX67" s="137">
        <v>200</v>
      </c>
      <c r="QMY67" s="139">
        <f>SUM(QMW67:QMX67)</f>
        <v>8875</v>
      </c>
      <c r="QMZ67" s="132" t="s">
        <v>113</v>
      </c>
      <c r="QNA67" s="133">
        <v>45845</v>
      </c>
      <c r="QNB67" s="128" t="s">
        <v>41</v>
      </c>
      <c r="QNC67" s="207"/>
      <c r="QND67" s="134" t="s">
        <v>136</v>
      </c>
      <c r="QNE67" s="205"/>
      <c r="QNF67" s="206"/>
      <c r="QNG67" s="128" t="s">
        <v>24</v>
      </c>
      <c r="QNH67" s="129">
        <v>8150</v>
      </c>
      <c r="QNI67" s="137">
        <v>85</v>
      </c>
      <c r="QNJ67" s="138">
        <v>215</v>
      </c>
      <c r="QNK67" s="138">
        <v>75</v>
      </c>
      <c r="QNL67" s="137">
        <v>150</v>
      </c>
      <c r="QNM67" s="139">
        <f>SUM(QNH67:QNL67)</f>
        <v>8675</v>
      </c>
      <c r="QNN67" s="137">
        <v>200</v>
      </c>
      <c r="QNO67" s="139">
        <f>SUM(QNM67:QNN67)</f>
        <v>8875</v>
      </c>
      <c r="QNP67" s="132" t="s">
        <v>113</v>
      </c>
      <c r="QNQ67" s="133">
        <v>45845</v>
      </c>
      <c r="QNR67" s="128" t="s">
        <v>41</v>
      </c>
      <c r="QNS67" s="207"/>
      <c r="QNT67" s="134" t="s">
        <v>136</v>
      </c>
      <c r="QNU67" s="205"/>
      <c r="QNV67" s="206"/>
      <c r="QNW67" s="128" t="s">
        <v>24</v>
      </c>
      <c r="QNX67" s="129">
        <v>8150</v>
      </c>
      <c r="QNY67" s="137">
        <v>85</v>
      </c>
      <c r="QNZ67" s="138">
        <v>215</v>
      </c>
      <c r="QOA67" s="138">
        <v>75</v>
      </c>
      <c r="QOB67" s="137">
        <v>150</v>
      </c>
      <c r="QOC67" s="139">
        <f>SUM(QNX67:QOB67)</f>
        <v>8675</v>
      </c>
      <c r="QOD67" s="137">
        <v>200</v>
      </c>
      <c r="QOE67" s="139">
        <f>SUM(QOC67:QOD67)</f>
        <v>8875</v>
      </c>
      <c r="QOF67" s="132" t="s">
        <v>113</v>
      </c>
      <c r="QOG67" s="133">
        <v>45845</v>
      </c>
      <c r="QOH67" s="128" t="s">
        <v>41</v>
      </c>
      <c r="QOI67" s="207"/>
      <c r="QOJ67" s="134" t="s">
        <v>136</v>
      </c>
      <c r="QOK67" s="205"/>
      <c r="QOL67" s="206"/>
      <c r="QOM67" s="128" t="s">
        <v>24</v>
      </c>
      <c r="QON67" s="129">
        <v>8150</v>
      </c>
      <c r="QOO67" s="137">
        <v>85</v>
      </c>
      <c r="QOP67" s="138">
        <v>215</v>
      </c>
      <c r="QOQ67" s="138">
        <v>75</v>
      </c>
      <c r="QOR67" s="137">
        <v>150</v>
      </c>
      <c r="QOS67" s="139">
        <f>SUM(QON67:QOR67)</f>
        <v>8675</v>
      </c>
      <c r="QOT67" s="137">
        <v>200</v>
      </c>
      <c r="QOU67" s="139">
        <f>SUM(QOS67:QOT67)</f>
        <v>8875</v>
      </c>
      <c r="QOV67" s="132" t="s">
        <v>113</v>
      </c>
      <c r="QOW67" s="133">
        <v>45845</v>
      </c>
      <c r="QOX67" s="128" t="s">
        <v>41</v>
      </c>
      <c r="QOY67" s="207"/>
      <c r="QOZ67" s="134" t="s">
        <v>136</v>
      </c>
      <c r="QPA67" s="205"/>
      <c r="QPB67" s="206"/>
      <c r="QPC67" s="128" t="s">
        <v>24</v>
      </c>
      <c r="QPD67" s="129">
        <v>8150</v>
      </c>
      <c r="QPE67" s="137">
        <v>85</v>
      </c>
      <c r="QPF67" s="138">
        <v>215</v>
      </c>
      <c r="QPG67" s="138">
        <v>75</v>
      </c>
      <c r="QPH67" s="137">
        <v>150</v>
      </c>
      <c r="QPI67" s="139">
        <f>SUM(QPD67:QPH67)</f>
        <v>8675</v>
      </c>
      <c r="QPJ67" s="137">
        <v>200</v>
      </c>
      <c r="QPK67" s="139">
        <f>SUM(QPI67:QPJ67)</f>
        <v>8875</v>
      </c>
      <c r="QPL67" s="132" t="s">
        <v>113</v>
      </c>
      <c r="QPM67" s="133">
        <v>45845</v>
      </c>
      <c r="QPN67" s="128" t="s">
        <v>41</v>
      </c>
      <c r="QPO67" s="207"/>
      <c r="QPP67" s="134" t="s">
        <v>136</v>
      </c>
      <c r="QPQ67" s="205"/>
      <c r="QPR67" s="206"/>
      <c r="QPS67" s="128" t="s">
        <v>24</v>
      </c>
      <c r="QPT67" s="129">
        <v>8150</v>
      </c>
      <c r="QPU67" s="137">
        <v>85</v>
      </c>
      <c r="QPV67" s="138">
        <v>215</v>
      </c>
      <c r="QPW67" s="138">
        <v>75</v>
      </c>
      <c r="QPX67" s="137">
        <v>150</v>
      </c>
      <c r="QPY67" s="139">
        <f>SUM(QPT67:QPX67)</f>
        <v>8675</v>
      </c>
      <c r="QPZ67" s="137">
        <v>200</v>
      </c>
      <c r="QQA67" s="139">
        <f>SUM(QPY67:QPZ67)</f>
        <v>8875</v>
      </c>
      <c r="QQB67" s="132" t="s">
        <v>113</v>
      </c>
      <c r="QQC67" s="133">
        <v>45845</v>
      </c>
      <c r="QQD67" s="128" t="s">
        <v>41</v>
      </c>
      <c r="QQE67" s="207"/>
      <c r="QQF67" s="134" t="s">
        <v>136</v>
      </c>
      <c r="QQG67" s="205"/>
      <c r="QQH67" s="206"/>
      <c r="QQI67" s="128" t="s">
        <v>24</v>
      </c>
      <c r="QQJ67" s="129">
        <v>8150</v>
      </c>
      <c r="QQK67" s="137">
        <v>85</v>
      </c>
      <c r="QQL67" s="138">
        <v>215</v>
      </c>
      <c r="QQM67" s="138">
        <v>75</v>
      </c>
      <c r="QQN67" s="137">
        <v>150</v>
      </c>
      <c r="QQO67" s="139">
        <f>SUM(QQJ67:QQN67)</f>
        <v>8675</v>
      </c>
      <c r="QQP67" s="137">
        <v>200</v>
      </c>
      <c r="QQQ67" s="139">
        <f>SUM(QQO67:QQP67)</f>
        <v>8875</v>
      </c>
      <c r="QQR67" s="132" t="s">
        <v>113</v>
      </c>
      <c r="QQS67" s="133">
        <v>45845</v>
      </c>
      <c r="QQT67" s="128" t="s">
        <v>41</v>
      </c>
      <c r="QQU67" s="207"/>
      <c r="QQV67" s="134" t="s">
        <v>136</v>
      </c>
      <c r="QQW67" s="205"/>
      <c r="QQX67" s="206"/>
      <c r="QQY67" s="128" t="s">
        <v>24</v>
      </c>
      <c r="QQZ67" s="129">
        <v>8150</v>
      </c>
      <c r="QRA67" s="137">
        <v>85</v>
      </c>
      <c r="QRB67" s="138">
        <v>215</v>
      </c>
      <c r="QRC67" s="138">
        <v>75</v>
      </c>
      <c r="QRD67" s="137">
        <v>150</v>
      </c>
      <c r="QRE67" s="139">
        <f>SUM(QQZ67:QRD67)</f>
        <v>8675</v>
      </c>
      <c r="QRF67" s="137">
        <v>200</v>
      </c>
      <c r="QRG67" s="139">
        <f>SUM(QRE67:QRF67)</f>
        <v>8875</v>
      </c>
      <c r="QRH67" s="132" t="s">
        <v>113</v>
      </c>
      <c r="QRI67" s="133">
        <v>45845</v>
      </c>
      <c r="QRJ67" s="128" t="s">
        <v>41</v>
      </c>
      <c r="QRK67" s="207"/>
      <c r="QRL67" s="134" t="s">
        <v>136</v>
      </c>
      <c r="QRM67" s="205"/>
      <c r="QRN67" s="206"/>
      <c r="QRO67" s="128" t="s">
        <v>24</v>
      </c>
      <c r="QRP67" s="129">
        <v>8150</v>
      </c>
      <c r="QRQ67" s="137">
        <v>85</v>
      </c>
      <c r="QRR67" s="138">
        <v>215</v>
      </c>
      <c r="QRS67" s="138">
        <v>75</v>
      </c>
      <c r="QRT67" s="137">
        <v>150</v>
      </c>
      <c r="QRU67" s="139">
        <f>SUM(QRP67:QRT67)</f>
        <v>8675</v>
      </c>
      <c r="QRV67" s="137">
        <v>200</v>
      </c>
      <c r="QRW67" s="139">
        <f>SUM(QRU67:QRV67)</f>
        <v>8875</v>
      </c>
      <c r="QRX67" s="132" t="s">
        <v>113</v>
      </c>
      <c r="QRY67" s="133">
        <v>45845</v>
      </c>
      <c r="QRZ67" s="128" t="s">
        <v>41</v>
      </c>
      <c r="QSA67" s="207"/>
      <c r="QSB67" s="134" t="s">
        <v>136</v>
      </c>
      <c r="QSC67" s="205"/>
      <c r="QSD67" s="206"/>
      <c r="QSE67" s="128" t="s">
        <v>24</v>
      </c>
      <c r="QSF67" s="129">
        <v>8150</v>
      </c>
      <c r="QSG67" s="137">
        <v>85</v>
      </c>
      <c r="QSH67" s="138">
        <v>215</v>
      </c>
      <c r="QSI67" s="138">
        <v>75</v>
      </c>
      <c r="QSJ67" s="137">
        <v>150</v>
      </c>
      <c r="QSK67" s="139">
        <f>SUM(QSF67:QSJ67)</f>
        <v>8675</v>
      </c>
      <c r="QSL67" s="137">
        <v>200</v>
      </c>
      <c r="QSM67" s="139">
        <f>SUM(QSK67:QSL67)</f>
        <v>8875</v>
      </c>
      <c r="QSN67" s="132" t="s">
        <v>113</v>
      </c>
      <c r="QSO67" s="133">
        <v>45845</v>
      </c>
      <c r="QSP67" s="128" t="s">
        <v>41</v>
      </c>
      <c r="QSQ67" s="207"/>
      <c r="QSR67" s="134" t="s">
        <v>136</v>
      </c>
      <c r="QSS67" s="205"/>
      <c r="QST67" s="206"/>
      <c r="QSU67" s="128" t="s">
        <v>24</v>
      </c>
      <c r="QSV67" s="129">
        <v>8150</v>
      </c>
      <c r="QSW67" s="137">
        <v>85</v>
      </c>
      <c r="QSX67" s="138">
        <v>215</v>
      </c>
      <c r="QSY67" s="138">
        <v>75</v>
      </c>
      <c r="QSZ67" s="137">
        <v>150</v>
      </c>
      <c r="QTA67" s="139">
        <f>SUM(QSV67:QSZ67)</f>
        <v>8675</v>
      </c>
      <c r="QTB67" s="137">
        <v>200</v>
      </c>
      <c r="QTC67" s="139">
        <f>SUM(QTA67:QTB67)</f>
        <v>8875</v>
      </c>
      <c r="QTD67" s="132" t="s">
        <v>113</v>
      </c>
      <c r="QTE67" s="133">
        <v>45845</v>
      </c>
      <c r="QTF67" s="128" t="s">
        <v>41</v>
      </c>
      <c r="QTG67" s="207"/>
      <c r="QTH67" s="134" t="s">
        <v>136</v>
      </c>
      <c r="QTI67" s="205"/>
      <c r="QTJ67" s="206"/>
      <c r="QTK67" s="128" t="s">
        <v>24</v>
      </c>
      <c r="QTL67" s="129">
        <v>8150</v>
      </c>
      <c r="QTM67" s="137">
        <v>85</v>
      </c>
      <c r="QTN67" s="138">
        <v>215</v>
      </c>
      <c r="QTO67" s="138">
        <v>75</v>
      </c>
      <c r="QTP67" s="137">
        <v>150</v>
      </c>
      <c r="QTQ67" s="139">
        <f>SUM(QTL67:QTP67)</f>
        <v>8675</v>
      </c>
      <c r="QTR67" s="137">
        <v>200</v>
      </c>
      <c r="QTS67" s="139">
        <f>SUM(QTQ67:QTR67)</f>
        <v>8875</v>
      </c>
      <c r="QTT67" s="132" t="s">
        <v>113</v>
      </c>
      <c r="QTU67" s="133">
        <v>45845</v>
      </c>
      <c r="QTV67" s="128" t="s">
        <v>41</v>
      </c>
      <c r="QTW67" s="207"/>
      <c r="QTX67" s="134" t="s">
        <v>136</v>
      </c>
      <c r="QTY67" s="205"/>
      <c r="QTZ67" s="206"/>
      <c r="QUA67" s="128" t="s">
        <v>24</v>
      </c>
      <c r="QUB67" s="129">
        <v>8150</v>
      </c>
      <c r="QUC67" s="137">
        <v>85</v>
      </c>
      <c r="QUD67" s="138">
        <v>215</v>
      </c>
      <c r="QUE67" s="138">
        <v>75</v>
      </c>
      <c r="QUF67" s="137">
        <v>150</v>
      </c>
      <c r="QUG67" s="139">
        <f>SUM(QUB67:QUF67)</f>
        <v>8675</v>
      </c>
      <c r="QUH67" s="137">
        <v>200</v>
      </c>
      <c r="QUI67" s="139">
        <f>SUM(QUG67:QUH67)</f>
        <v>8875</v>
      </c>
      <c r="QUJ67" s="132" t="s">
        <v>113</v>
      </c>
      <c r="QUK67" s="133">
        <v>45845</v>
      </c>
      <c r="QUL67" s="128" t="s">
        <v>41</v>
      </c>
      <c r="QUM67" s="207"/>
      <c r="QUN67" s="134" t="s">
        <v>136</v>
      </c>
      <c r="QUO67" s="205"/>
      <c r="QUP67" s="206"/>
      <c r="QUQ67" s="128" t="s">
        <v>24</v>
      </c>
      <c r="QUR67" s="129">
        <v>8150</v>
      </c>
      <c r="QUS67" s="137">
        <v>85</v>
      </c>
      <c r="QUT67" s="138">
        <v>215</v>
      </c>
      <c r="QUU67" s="138">
        <v>75</v>
      </c>
      <c r="QUV67" s="137">
        <v>150</v>
      </c>
      <c r="QUW67" s="139">
        <f>SUM(QUR67:QUV67)</f>
        <v>8675</v>
      </c>
      <c r="QUX67" s="137">
        <v>200</v>
      </c>
      <c r="QUY67" s="139">
        <f>SUM(QUW67:QUX67)</f>
        <v>8875</v>
      </c>
      <c r="QUZ67" s="132" t="s">
        <v>113</v>
      </c>
      <c r="QVA67" s="133">
        <v>45845</v>
      </c>
      <c r="QVB67" s="128" t="s">
        <v>41</v>
      </c>
      <c r="QVC67" s="207"/>
      <c r="QVD67" s="134" t="s">
        <v>136</v>
      </c>
      <c r="QVE67" s="205"/>
      <c r="QVF67" s="206"/>
      <c r="QVG67" s="128" t="s">
        <v>24</v>
      </c>
      <c r="QVH67" s="129">
        <v>8150</v>
      </c>
      <c r="QVI67" s="137">
        <v>85</v>
      </c>
      <c r="QVJ67" s="138">
        <v>215</v>
      </c>
      <c r="QVK67" s="138">
        <v>75</v>
      </c>
      <c r="QVL67" s="137">
        <v>150</v>
      </c>
      <c r="QVM67" s="139">
        <f>SUM(QVH67:QVL67)</f>
        <v>8675</v>
      </c>
      <c r="QVN67" s="137">
        <v>200</v>
      </c>
      <c r="QVO67" s="139">
        <f>SUM(QVM67:QVN67)</f>
        <v>8875</v>
      </c>
      <c r="QVP67" s="132" t="s">
        <v>113</v>
      </c>
      <c r="QVQ67" s="133">
        <v>45845</v>
      </c>
      <c r="QVR67" s="128" t="s">
        <v>41</v>
      </c>
      <c r="QVS67" s="207"/>
      <c r="QVT67" s="134" t="s">
        <v>136</v>
      </c>
      <c r="QVU67" s="205"/>
      <c r="QVV67" s="206"/>
      <c r="QVW67" s="128" t="s">
        <v>24</v>
      </c>
      <c r="QVX67" s="129">
        <v>8150</v>
      </c>
      <c r="QVY67" s="137">
        <v>85</v>
      </c>
      <c r="QVZ67" s="138">
        <v>215</v>
      </c>
      <c r="QWA67" s="138">
        <v>75</v>
      </c>
      <c r="QWB67" s="137">
        <v>150</v>
      </c>
      <c r="QWC67" s="139">
        <f>SUM(QVX67:QWB67)</f>
        <v>8675</v>
      </c>
      <c r="QWD67" s="137">
        <v>200</v>
      </c>
      <c r="QWE67" s="139">
        <f>SUM(QWC67:QWD67)</f>
        <v>8875</v>
      </c>
      <c r="QWF67" s="132" t="s">
        <v>113</v>
      </c>
      <c r="QWG67" s="133">
        <v>45845</v>
      </c>
      <c r="QWH67" s="128" t="s">
        <v>41</v>
      </c>
      <c r="QWI67" s="207"/>
      <c r="QWJ67" s="134" t="s">
        <v>136</v>
      </c>
      <c r="QWK67" s="205"/>
      <c r="QWL67" s="206"/>
      <c r="QWM67" s="128" t="s">
        <v>24</v>
      </c>
      <c r="QWN67" s="129">
        <v>8150</v>
      </c>
      <c r="QWO67" s="137">
        <v>85</v>
      </c>
      <c r="QWP67" s="138">
        <v>215</v>
      </c>
      <c r="QWQ67" s="138">
        <v>75</v>
      </c>
      <c r="QWR67" s="137">
        <v>150</v>
      </c>
      <c r="QWS67" s="139">
        <f>SUM(QWN67:QWR67)</f>
        <v>8675</v>
      </c>
      <c r="QWT67" s="137">
        <v>200</v>
      </c>
      <c r="QWU67" s="139">
        <f>SUM(QWS67:QWT67)</f>
        <v>8875</v>
      </c>
      <c r="QWV67" s="132" t="s">
        <v>113</v>
      </c>
      <c r="QWW67" s="133">
        <v>45845</v>
      </c>
      <c r="QWX67" s="128" t="s">
        <v>41</v>
      </c>
      <c r="QWY67" s="207"/>
      <c r="QWZ67" s="134" t="s">
        <v>136</v>
      </c>
      <c r="QXA67" s="205"/>
      <c r="QXB67" s="206"/>
      <c r="QXC67" s="128" t="s">
        <v>24</v>
      </c>
      <c r="QXD67" s="129">
        <v>8150</v>
      </c>
      <c r="QXE67" s="137">
        <v>85</v>
      </c>
      <c r="QXF67" s="138">
        <v>215</v>
      </c>
      <c r="QXG67" s="138">
        <v>75</v>
      </c>
      <c r="QXH67" s="137">
        <v>150</v>
      </c>
      <c r="QXI67" s="139">
        <f>SUM(QXD67:QXH67)</f>
        <v>8675</v>
      </c>
      <c r="QXJ67" s="137">
        <v>200</v>
      </c>
      <c r="QXK67" s="139">
        <f>SUM(QXI67:QXJ67)</f>
        <v>8875</v>
      </c>
      <c r="QXL67" s="132" t="s">
        <v>113</v>
      </c>
      <c r="QXM67" s="133">
        <v>45845</v>
      </c>
      <c r="QXN67" s="128" t="s">
        <v>41</v>
      </c>
      <c r="QXO67" s="207"/>
      <c r="QXP67" s="134" t="s">
        <v>136</v>
      </c>
      <c r="QXQ67" s="205"/>
      <c r="QXR67" s="206"/>
      <c r="QXS67" s="128" t="s">
        <v>24</v>
      </c>
      <c r="QXT67" s="129">
        <v>8150</v>
      </c>
      <c r="QXU67" s="137">
        <v>85</v>
      </c>
      <c r="QXV67" s="138">
        <v>215</v>
      </c>
      <c r="QXW67" s="138">
        <v>75</v>
      </c>
      <c r="QXX67" s="137">
        <v>150</v>
      </c>
      <c r="QXY67" s="139">
        <f>SUM(QXT67:QXX67)</f>
        <v>8675</v>
      </c>
      <c r="QXZ67" s="137">
        <v>200</v>
      </c>
      <c r="QYA67" s="139">
        <f>SUM(QXY67:QXZ67)</f>
        <v>8875</v>
      </c>
      <c r="QYB67" s="132" t="s">
        <v>113</v>
      </c>
      <c r="QYC67" s="133">
        <v>45845</v>
      </c>
      <c r="QYD67" s="128" t="s">
        <v>41</v>
      </c>
      <c r="QYE67" s="207"/>
      <c r="QYF67" s="134" t="s">
        <v>136</v>
      </c>
      <c r="QYG67" s="205"/>
      <c r="QYH67" s="206"/>
      <c r="QYI67" s="128" t="s">
        <v>24</v>
      </c>
      <c r="QYJ67" s="129">
        <v>8150</v>
      </c>
      <c r="QYK67" s="137">
        <v>85</v>
      </c>
      <c r="QYL67" s="138">
        <v>215</v>
      </c>
      <c r="QYM67" s="138">
        <v>75</v>
      </c>
      <c r="QYN67" s="137">
        <v>150</v>
      </c>
      <c r="QYO67" s="139">
        <f>SUM(QYJ67:QYN67)</f>
        <v>8675</v>
      </c>
      <c r="QYP67" s="137">
        <v>200</v>
      </c>
      <c r="QYQ67" s="139">
        <f>SUM(QYO67:QYP67)</f>
        <v>8875</v>
      </c>
      <c r="QYR67" s="132" t="s">
        <v>113</v>
      </c>
      <c r="QYS67" s="133">
        <v>45845</v>
      </c>
      <c r="QYT67" s="128" t="s">
        <v>41</v>
      </c>
      <c r="QYU67" s="207"/>
      <c r="QYV67" s="134" t="s">
        <v>136</v>
      </c>
      <c r="QYW67" s="205"/>
      <c r="QYX67" s="206"/>
      <c r="QYY67" s="128" t="s">
        <v>24</v>
      </c>
      <c r="QYZ67" s="129">
        <v>8150</v>
      </c>
      <c r="QZA67" s="137">
        <v>85</v>
      </c>
      <c r="QZB67" s="138">
        <v>215</v>
      </c>
      <c r="QZC67" s="138">
        <v>75</v>
      </c>
      <c r="QZD67" s="137">
        <v>150</v>
      </c>
      <c r="QZE67" s="139">
        <f>SUM(QYZ67:QZD67)</f>
        <v>8675</v>
      </c>
      <c r="QZF67" s="137">
        <v>200</v>
      </c>
      <c r="QZG67" s="139">
        <f>SUM(QZE67:QZF67)</f>
        <v>8875</v>
      </c>
      <c r="QZH67" s="132" t="s">
        <v>113</v>
      </c>
      <c r="QZI67" s="133">
        <v>45845</v>
      </c>
      <c r="QZJ67" s="128" t="s">
        <v>41</v>
      </c>
      <c r="QZK67" s="207"/>
      <c r="QZL67" s="134" t="s">
        <v>136</v>
      </c>
      <c r="QZM67" s="205"/>
      <c r="QZN67" s="206"/>
      <c r="QZO67" s="128" t="s">
        <v>24</v>
      </c>
      <c r="QZP67" s="129">
        <v>8150</v>
      </c>
      <c r="QZQ67" s="137">
        <v>85</v>
      </c>
      <c r="QZR67" s="138">
        <v>215</v>
      </c>
      <c r="QZS67" s="138">
        <v>75</v>
      </c>
      <c r="QZT67" s="137">
        <v>150</v>
      </c>
      <c r="QZU67" s="139">
        <f>SUM(QZP67:QZT67)</f>
        <v>8675</v>
      </c>
      <c r="QZV67" s="137">
        <v>200</v>
      </c>
      <c r="QZW67" s="139">
        <f>SUM(QZU67:QZV67)</f>
        <v>8875</v>
      </c>
      <c r="QZX67" s="132" t="s">
        <v>113</v>
      </c>
      <c r="QZY67" s="133">
        <v>45845</v>
      </c>
      <c r="QZZ67" s="128" t="s">
        <v>41</v>
      </c>
      <c r="RAA67" s="207"/>
      <c r="RAB67" s="134" t="s">
        <v>136</v>
      </c>
      <c r="RAC67" s="205"/>
      <c r="RAD67" s="206"/>
      <c r="RAE67" s="128" t="s">
        <v>24</v>
      </c>
      <c r="RWX67" s="206"/>
      <c r="RWY67" s="128" t="s">
        <v>24</v>
      </c>
      <c r="RWZ67" s="129">
        <v>8150</v>
      </c>
      <c r="RXA67" s="137">
        <v>85</v>
      </c>
      <c r="RXB67" s="138">
        <v>215</v>
      </c>
      <c r="RXC67" s="138">
        <v>75</v>
      </c>
      <c r="RXD67" s="137">
        <v>150</v>
      </c>
      <c r="RXE67" s="139">
        <f>SUM(RWZ67:RXD67)</f>
        <v>8675</v>
      </c>
      <c r="RXF67" s="137">
        <v>200</v>
      </c>
      <c r="RXG67" s="139">
        <f>SUM(RXE67:RXF67)</f>
        <v>8875</v>
      </c>
      <c r="RXH67" s="132" t="s">
        <v>113</v>
      </c>
      <c r="RXI67" s="133">
        <v>45845</v>
      </c>
      <c r="RXJ67" s="128" t="s">
        <v>41</v>
      </c>
      <c r="RXK67" s="207"/>
      <c r="RXL67" s="134" t="s">
        <v>136</v>
      </c>
      <c r="RXM67" s="205"/>
      <c r="RXN67" s="206"/>
      <c r="RXO67" s="128" t="s">
        <v>24</v>
      </c>
      <c r="RXP67" s="129">
        <v>8150</v>
      </c>
      <c r="RXQ67" s="137">
        <v>85</v>
      </c>
      <c r="RXR67" s="138">
        <v>215</v>
      </c>
      <c r="RXS67" s="138">
        <v>75</v>
      </c>
      <c r="RXT67" s="137">
        <v>150</v>
      </c>
      <c r="RXU67" s="139">
        <f>SUM(RXP67:RXT67)</f>
        <v>8675</v>
      </c>
      <c r="RXV67" s="137">
        <v>200</v>
      </c>
      <c r="RXW67" s="139">
        <f>SUM(RXU67:RXV67)</f>
        <v>8875</v>
      </c>
      <c r="RXX67" s="132" t="s">
        <v>113</v>
      </c>
      <c r="RXY67" s="133">
        <v>45845</v>
      </c>
      <c r="RXZ67" s="128" t="s">
        <v>41</v>
      </c>
      <c r="RYA67" s="207"/>
      <c r="RYB67" s="134" t="s">
        <v>136</v>
      </c>
      <c r="RYC67" s="205"/>
      <c r="RYD67" s="206"/>
      <c r="RYE67" s="128" t="s">
        <v>24</v>
      </c>
      <c r="RYF67" s="129">
        <v>8150</v>
      </c>
      <c r="RYG67" s="137">
        <v>85</v>
      </c>
      <c r="RYH67" s="138">
        <v>215</v>
      </c>
      <c r="RYI67" s="138">
        <v>75</v>
      </c>
      <c r="RYJ67" s="137">
        <v>150</v>
      </c>
      <c r="RYK67" s="139">
        <f>SUM(RYF67:RYJ67)</f>
        <v>8675</v>
      </c>
      <c r="RYL67" s="137">
        <v>200</v>
      </c>
      <c r="RYM67" s="139">
        <f>SUM(RYK67:RYL67)</f>
        <v>8875</v>
      </c>
      <c r="RYN67" s="132" t="s">
        <v>113</v>
      </c>
      <c r="RYO67" s="133">
        <v>45845</v>
      </c>
      <c r="RYP67" s="128" t="s">
        <v>41</v>
      </c>
      <c r="RYQ67" s="207"/>
      <c r="RYR67" s="134" t="s">
        <v>136</v>
      </c>
      <c r="RYS67" s="205"/>
      <c r="RYT67" s="206"/>
      <c r="RYU67" s="128" t="s">
        <v>24</v>
      </c>
      <c r="RYV67" s="129">
        <v>8150</v>
      </c>
      <c r="RYW67" s="137">
        <v>85</v>
      </c>
      <c r="RYX67" s="138">
        <v>215</v>
      </c>
      <c r="RYY67" s="138">
        <v>75</v>
      </c>
      <c r="RYZ67" s="137">
        <v>150</v>
      </c>
      <c r="RZA67" s="139">
        <f>SUM(RYV67:RYZ67)</f>
        <v>8675</v>
      </c>
      <c r="RZB67" s="137">
        <v>200</v>
      </c>
      <c r="RZC67" s="139">
        <f>SUM(RZA67:RZB67)</f>
        <v>8875</v>
      </c>
      <c r="RZD67" s="132" t="s">
        <v>113</v>
      </c>
      <c r="RZE67" s="133">
        <v>45845</v>
      </c>
      <c r="RZF67" s="128" t="s">
        <v>41</v>
      </c>
      <c r="RZG67" s="207"/>
      <c r="RZH67" s="134" t="s">
        <v>136</v>
      </c>
      <c r="RZI67" s="205"/>
      <c r="RZJ67" s="206"/>
      <c r="RZK67" s="128" t="s">
        <v>24</v>
      </c>
      <c r="RZL67" s="129">
        <v>8150</v>
      </c>
      <c r="RZM67" s="137">
        <v>85</v>
      </c>
      <c r="RZN67" s="138">
        <v>215</v>
      </c>
      <c r="RZO67" s="138">
        <v>75</v>
      </c>
      <c r="RZP67" s="137">
        <v>150</v>
      </c>
      <c r="RZQ67" s="139">
        <f>SUM(RZL67:RZP67)</f>
        <v>8675</v>
      </c>
      <c r="RZR67" s="137">
        <v>200</v>
      </c>
      <c r="RZS67" s="139">
        <f>SUM(RZQ67:RZR67)</f>
        <v>8875</v>
      </c>
      <c r="RZT67" s="132" t="s">
        <v>113</v>
      </c>
      <c r="RZU67" s="133">
        <v>45845</v>
      </c>
      <c r="RZV67" s="128" t="s">
        <v>41</v>
      </c>
      <c r="RZW67" s="207"/>
      <c r="RZX67" s="134" t="s">
        <v>136</v>
      </c>
      <c r="RZY67" s="205"/>
      <c r="RZZ67" s="206"/>
      <c r="SAA67" s="128" t="s">
        <v>24</v>
      </c>
      <c r="SAB67" s="129">
        <v>8150</v>
      </c>
      <c r="SAC67" s="137">
        <v>85</v>
      </c>
      <c r="SAD67" s="138">
        <v>215</v>
      </c>
      <c r="SAE67" s="138">
        <v>75</v>
      </c>
      <c r="SAF67" s="137">
        <v>150</v>
      </c>
      <c r="SAG67" s="139">
        <f>SUM(SAB67:SAF67)</f>
        <v>8675</v>
      </c>
      <c r="SAH67" s="137">
        <v>200</v>
      </c>
      <c r="SAI67" s="139">
        <f>SUM(SAG67:SAH67)</f>
        <v>8875</v>
      </c>
      <c r="SAJ67" s="132" t="s">
        <v>113</v>
      </c>
      <c r="SAK67" s="133">
        <v>45845</v>
      </c>
      <c r="SAL67" s="128" t="s">
        <v>41</v>
      </c>
      <c r="SAM67" s="207"/>
      <c r="SAN67" s="134" t="s">
        <v>136</v>
      </c>
      <c r="SAO67" s="205"/>
      <c r="SAP67" s="206"/>
      <c r="SAQ67" s="128" t="s">
        <v>24</v>
      </c>
      <c r="SAR67" s="129">
        <v>8150</v>
      </c>
      <c r="SAS67" s="137">
        <v>85</v>
      </c>
      <c r="SAT67" s="138">
        <v>215</v>
      </c>
      <c r="SAU67" s="138">
        <v>75</v>
      </c>
      <c r="SAV67" s="137">
        <v>150</v>
      </c>
      <c r="SAW67" s="139">
        <f>SUM(SAR67:SAV67)</f>
        <v>8675</v>
      </c>
      <c r="SAX67" s="137">
        <v>200</v>
      </c>
      <c r="SAY67" s="139">
        <f>SUM(SAW67:SAX67)</f>
        <v>8875</v>
      </c>
      <c r="SAZ67" s="132" t="s">
        <v>113</v>
      </c>
      <c r="SBA67" s="133">
        <v>45845</v>
      </c>
      <c r="SBB67" s="128" t="s">
        <v>41</v>
      </c>
      <c r="SBC67" s="207"/>
      <c r="SBD67" s="134" t="s">
        <v>136</v>
      </c>
      <c r="SBE67" s="205"/>
      <c r="SBF67" s="206"/>
      <c r="SBG67" s="128" t="s">
        <v>24</v>
      </c>
      <c r="SBH67" s="129">
        <v>8150</v>
      </c>
      <c r="SBI67" s="137">
        <v>85</v>
      </c>
      <c r="SBJ67" s="138">
        <v>215</v>
      </c>
      <c r="SBK67" s="138">
        <v>75</v>
      </c>
      <c r="SBL67" s="137">
        <v>150</v>
      </c>
      <c r="SBM67" s="139">
        <f>SUM(SBH67:SBL67)</f>
        <v>8675</v>
      </c>
      <c r="SBN67" s="137">
        <v>200</v>
      </c>
      <c r="SBO67" s="139">
        <f>SUM(SBM67:SBN67)</f>
        <v>8875</v>
      </c>
      <c r="SBP67" s="132" t="s">
        <v>113</v>
      </c>
      <c r="SBQ67" s="133">
        <v>45845</v>
      </c>
      <c r="SBR67" s="128" t="s">
        <v>41</v>
      </c>
      <c r="SBS67" s="207"/>
      <c r="SBT67" s="134" t="s">
        <v>136</v>
      </c>
      <c r="SBU67" s="205"/>
      <c r="SBV67" s="206"/>
      <c r="SBW67" s="128" t="s">
        <v>24</v>
      </c>
      <c r="SBX67" s="129">
        <v>8150</v>
      </c>
      <c r="SBY67" s="137">
        <v>85</v>
      </c>
      <c r="SBZ67" s="138">
        <v>215</v>
      </c>
      <c r="SCA67" s="138">
        <v>75</v>
      </c>
      <c r="SCB67" s="137">
        <v>150</v>
      </c>
      <c r="SCC67" s="139">
        <f>SUM(SBX67:SCB67)</f>
        <v>8675</v>
      </c>
      <c r="SCD67" s="137">
        <v>200</v>
      </c>
      <c r="SCE67" s="139">
        <f>SUM(SCC67:SCD67)</f>
        <v>8875</v>
      </c>
      <c r="SCF67" s="132" t="s">
        <v>113</v>
      </c>
      <c r="SCG67" s="133">
        <v>45845</v>
      </c>
      <c r="SCH67" s="128" t="s">
        <v>41</v>
      </c>
      <c r="SCI67" s="207"/>
      <c r="SCJ67" s="134" t="s">
        <v>136</v>
      </c>
      <c r="SCK67" s="205"/>
      <c r="SCL67" s="206"/>
      <c r="SCM67" s="128" t="s">
        <v>24</v>
      </c>
      <c r="SCN67" s="129">
        <v>8150</v>
      </c>
      <c r="SCO67" s="137">
        <v>85</v>
      </c>
      <c r="SCP67" s="138">
        <v>215</v>
      </c>
      <c r="SCQ67" s="138">
        <v>75</v>
      </c>
      <c r="SCR67" s="137">
        <v>150</v>
      </c>
      <c r="SCS67" s="139">
        <f>SUM(SCN67:SCR67)</f>
        <v>8675</v>
      </c>
      <c r="SCT67" s="137">
        <v>200</v>
      </c>
      <c r="SCU67" s="139">
        <f>SUM(SCS67:SCT67)</f>
        <v>8875</v>
      </c>
      <c r="SCV67" s="132" t="s">
        <v>113</v>
      </c>
      <c r="SCW67" s="133">
        <v>45845</v>
      </c>
      <c r="SCX67" s="128" t="s">
        <v>41</v>
      </c>
      <c r="SCY67" s="207"/>
      <c r="SCZ67" s="134" t="s">
        <v>136</v>
      </c>
      <c r="SDA67" s="205"/>
      <c r="SDB67" s="206"/>
      <c r="SDC67" s="128" t="s">
        <v>24</v>
      </c>
      <c r="SDD67" s="129">
        <v>8150</v>
      </c>
      <c r="SDE67" s="137">
        <v>85</v>
      </c>
      <c r="SDF67" s="138">
        <v>215</v>
      </c>
      <c r="SDG67" s="138">
        <v>75</v>
      </c>
      <c r="SDH67" s="137">
        <v>150</v>
      </c>
      <c r="SDI67" s="139">
        <f>SUM(SDD67:SDH67)</f>
        <v>8675</v>
      </c>
      <c r="SDJ67" s="137">
        <v>200</v>
      </c>
      <c r="SDK67" s="139">
        <f>SUM(SDI67:SDJ67)</f>
        <v>8875</v>
      </c>
      <c r="SDL67" s="132" t="s">
        <v>113</v>
      </c>
      <c r="SDM67" s="133">
        <v>45845</v>
      </c>
      <c r="SDN67" s="128" t="s">
        <v>41</v>
      </c>
      <c r="SDO67" s="207"/>
      <c r="SDP67" s="134" t="s">
        <v>136</v>
      </c>
      <c r="SDQ67" s="205"/>
      <c r="SDR67" s="206"/>
      <c r="SDS67" s="128" t="s">
        <v>24</v>
      </c>
      <c r="SDT67" s="129">
        <v>8150</v>
      </c>
      <c r="SDU67" s="137">
        <v>85</v>
      </c>
      <c r="SDV67" s="138">
        <v>215</v>
      </c>
      <c r="SDW67" s="138">
        <v>75</v>
      </c>
      <c r="SDX67" s="137">
        <v>150</v>
      </c>
      <c r="SDY67" s="139">
        <f>SUM(SDT67:SDX67)</f>
        <v>8675</v>
      </c>
      <c r="SDZ67" s="137">
        <v>200</v>
      </c>
      <c r="SEA67" s="139">
        <f>SUM(SDY67:SDZ67)</f>
        <v>8875</v>
      </c>
      <c r="SEB67" s="132" t="s">
        <v>113</v>
      </c>
      <c r="SEC67" s="133">
        <v>45845</v>
      </c>
      <c r="SED67" s="128" t="s">
        <v>41</v>
      </c>
      <c r="SEE67" s="207"/>
      <c r="SEF67" s="134" t="s">
        <v>136</v>
      </c>
      <c r="SEG67" s="205"/>
      <c r="SEH67" s="206"/>
      <c r="SEI67" s="128" t="s">
        <v>24</v>
      </c>
      <c r="SEJ67" s="129">
        <v>8150</v>
      </c>
      <c r="SEK67" s="137">
        <v>85</v>
      </c>
      <c r="SEL67" s="138">
        <v>215</v>
      </c>
      <c r="SEM67" s="138">
        <v>75</v>
      </c>
      <c r="SEN67" s="137">
        <v>150</v>
      </c>
      <c r="SEO67" s="139">
        <f>SUM(SEJ67:SEN67)</f>
        <v>8675</v>
      </c>
      <c r="SEP67" s="137">
        <v>200</v>
      </c>
      <c r="SEQ67" s="139">
        <f>SUM(SEO67:SEP67)</f>
        <v>8875</v>
      </c>
      <c r="SER67" s="132" t="s">
        <v>113</v>
      </c>
      <c r="SES67" s="133">
        <v>45845</v>
      </c>
      <c r="SET67" s="128" t="s">
        <v>41</v>
      </c>
      <c r="SEU67" s="207"/>
      <c r="SEV67" s="134" t="s">
        <v>136</v>
      </c>
      <c r="SEW67" s="205"/>
      <c r="SEX67" s="206"/>
      <c r="SEY67" s="128" t="s">
        <v>24</v>
      </c>
      <c r="SEZ67" s="129">
        <v>8150</v>
      </c>
      <c r="SFA67" s="137">
        <v>85</v>
      </c>
      <c r="SFB67" s="138">
        <v>215</v>
      </c>
      <c r="SFC67" s="138">
        <v>75</v>
      </c>
      <c r="SFD67" s="137">
        <v>150</v>
      </c>
      <c r="SFE67" s="139">
        <f>SUM(SEZ67:SFD67)</f>
        <v>8675</v>
      </c>
      <c r="SFF67" s="137">
        <v>200</v>
      </c>
      <c r="SFG67" s="139">
        <f>SUM(SFE67:SFF67)</f>
        <v>8875</v>
      </c>
      <c r="SFH67" s="132" t="s">
        <v>113</v>
      </c>
      <c r="SFI67" s="133">
        <v>45845</v>
      </c>
      <c r="SFJ67" s="128" t="s">
        <v>41</v>
      </c>
      <c r="SFK67" s="207"/>
      <c r="SFL67" s="134" t="s">
        <v>136</v>
      </c>
      <c r="SFM67" s="205"/>
      <c r="SFN67" s="206"/>
      <c r="SFO67" s="128" t="s">
        <v>24</v>
      </c>
      <c r="SFP67" s="129">
        <v>8150</v>
      </c>
      <c r="SFQ67" s="137">
        <v>85</v>
      </c>
      <c r="SFR67" s="138">
        <v>215</v>
      </c>
      <c r="SFS67" s="138">
        <v>75</v>
      </c>
      <c r="SFT67" s="137">
        <v>150</v>
      </c>
      <c r="SFU67" s="139">
        <f>SUM(SFP67:SFT67)</f>
        <v>8675</v>
      </c>
      <c r="SFV67" s="137">
        <v>200</v>
      </c>
      <c r="SFW67" s="139">
        <f>SUM(SFU67:SFV67)</f>
        <v>8875</v>
      </c>
      <c r="SFX67" s="132" t="s">
        <v>113</v>
      </c>
      <c r="SFY67" s="133">
        <v>45845</v>
      </c>
      <c r="SFZ67" s="128" t="s">
        <v>41</v>
      </c>
      <c r="SGA67" s="207"/>
      <c r="SGB67" s="134" t="s">
        <v>136</v>
      </c>
      <c r="SGC67" s="205"/>
      <c r="SGD67" s="206"/>
      <c r="SGE67" s="128" t="s">
        <v>24</v>
      </c>
      <c r="SGF67" s="129">
        <v>8150</v>
      </c>
      <c r="SGG67" s="137">
        <v>85</v>
      </c>
      <c r="SGH67" s="138">
        <v>215</v>
      </c>
      <c r="SGI67" s="138">
        <v>75</v>
      </c>
      <c r="SGJ67" s="137">
        <v>150</v>
      </c>
      <c r="SGK67" s="139">
        <f>SUM(SGF67:SGJ67)</f>
        <v>8675</v>
      </c>
      <c r="SGL67" s="137">
        <v>200</v>
      </c>
      <c r="SGM67" s="139">
        <f>SUM(SGK67:SGL67)</f>
        <v>8875</v>
      </c>
      <c r="SGN67" s="132" t="s">
        <v>113</v>
      </c>
      <c r="SGO67" s="133">
        <v>45845</v>
      </c>
      <c r="SGP67" s="128" t="s">
        <v>41</v>
      </c>
      <c r="SGQ67" s="207"/>
      <c r="SGR67" s="134" t="s">
        <v>136</v>
      </c>
      <c r="SGS67" s="205"/>
      <c r="SGT67" s="206"/>
      <c r="SGU67" s="128" t="s">
        <v>24</v>
      </c>
      <c r="SGV67" s="129">
        <v>8150</v>
      </c>
      <c r="SGW67" s="137">
        <v>85</v>
      </c>
      <c r="SGX67" s="138">
        <v>215</v>
      </c>
      <c r="SGY67" s="138">
        <v>75</v>
      </c>
      <c r="SGZ67" s="137">
        <v>150</v>
      </c>
      <c r="SHA67" s="139">
        <f>SUM(SGV67:SGZ67)</f>
        <v>8675</v>
      </c>
      <c r="SHB67" s="137">
        <v>200</v>
      </c>
      <c r="SHC67" s="139">
        <f>SUM(SHA67:SHB67)</f>
        <v>8875</v>
      </c>
      <c r="SHD67" s="132" t="s">
        <v>113</v>
      </c>
      <c r="SHE67" s="133">
        <v>45845</v>
      </c>
      <c r="SHF67" s="128" t="s">
        <v>41</v>
      </c>
      <c r="SHG67" s="207"/>
      <c r="SHH67" s="134" t="s">
        <v>136</v>
      </c>
      <c r="SHI67" s="205"/>
      <c r="SHJ67" s="206"/>
      <c r="SHK67" s="128" t="s">
        <v>24</v>
      </c>
      <c r="SHL67" s="129">
        <v>8150</v>
      </c>
      <c r="SHM67" s="137">
        <v>85</v>
      </c>
      <c r="SHN67" s="138">
        <v>215</v>
      </c>
      <c r="SHO67" s="138">
        <v>75</v>
      </c>
      <c r="SHP67" s="137">
        <v>150</v>
      </c>
      <c r="SHQ67" s="139">
        <f>SUM(SHL67:SHP67)</f>
        <v>8675</v>
      </c>
      <c r="SHR67" s="137">
        <v>200</v>
      </c>
      <c r="SHS67" s="139">
        <f>SUM(SHQ67:SHR67)</f>
        <v>8875</v>
      </c>
      <c r="SHT67" s="132" t="s">
        <v>113</v>
      </c>
      <c r="SHU67" s="133">
        <v>45845</v>
      </c>
      <c r="SHV67" s="128" t="s">
        <v>41</v>
      </c>
      <c r="SHW67" s="207"/>
      <c r="SHX67" s="134" t="s">
        <v>136</v>
      </c>
      <c r="SHY67" s="205"/>
      <c r="SHZ67" s="206"/>
      <c r="SIA67" s="128" t="s">
        <v>24</v>
      </c>
      <c r="SIB67" s="129">
        <v>8150</v>
      </c>
      <c r="SIC67" s="137">
        <v>85</v>
      </c>
      <c r="SID67" s="138">
        <v>215</v>
      </c>
      <c r="SIE67" s="138">
        <v>75</v>
      </c>
      <c r="SIF67" s="137">
        <v>150</v>
      </c>
      <c r="SIG67" s="139">
        <f>SUM(SIB67:SIF67)</f>
        <v>8675</v>
      </c>
      <c r="SIH67" s="137">
        <v>200</v>
      </c>
      <c r="SII67" s="139">
        <f>SUM(SIG67:SIH67)</f>
        <v>8875</v>
      </c>
      <c r="SIJ67" s="132" t="s">
        <v>113</v>
      </c>
      <c r="SIK67" s="133">
        <v>45845</v>
      </c>
      <c r="SIL67" s="128" t="s">
        <v>41</v>
      </c>
      <c r="SIM67" s="207"/>
      <c r="SIN67" s="134" t="s">
        <v>136</v>
      </c>
      <c r="SIO67" s="205"/>
      <c r="SIP67" s="206"/>
      <c r="SIQ67" s="128" t="s">
        <v>24</v>
      </c>
      <c r="SIR67" s="129">
        <v>8150</v>
      </c>
      <c r="SIS67" s="137">
        <v>85</v>
      </c>
      <c r="SIT67" s="138">
        <v>215</v>
      </c>
      <c r="SIU67" s="138">
        <v>75</v>
      </c>
      <c r="SIV67" s="137">
        <v>150</v>
      </c>
      <c r="SIW67" s="139">
        <f>SUM(SIR67:SIV67)</f>
        <v>8675</v>
      </c>
      <c r="SIX67" s="137">
        <v>200</v>
      </c>
      <c r="SIY67" s="139">
        <f>SUM(SIW67:SIX67)</f>
        <v>8875</v>
      </c>
      <c r="SIZ67" s="132" t="s">
        <v>113</v>
      </c>
      <c r="SJA67" s="133">
        <v>45845</v>
      </c>
      <c r="SJB67" s="128" t="s">
        <v>41</v>
      </c>
      <c r="SJC67" s="207"/>
      <c r="SJD67" s="134" t="s">
        <v>136</v>
      </c>
      <c r="SJE67" s="205"/>
      <c r="SJF67" s="206"/>
      <c r="SJG67" s="128" t="s">
        <v>24</v>
      </c>
      <c r="SJH67" s="129">
        <v>8150</v>
      </c>
      <c r="SJI67" s="137">
        <v>85</v>
      </c>
      <c r="SJJ67" s="138">
        <v>215</v>
      </c>
      <c r="SJK67" s="138">
        <v>75</v>
      </c>
      <c r="SJL67" s="137">
        <v>150</v>
      </c>
      <c r="SJM67" s="139">
        <f>SUM(SJH67:SJL67)</f>
        <v>8675</v>
      </c>
      <c r="SJN67" s="137">
        <v>200</v>
      </c>
      <c r="SJO67" s="139">
        <f>SUM(SJM67:SJN67)</f>
        <v>8875</v>
      </c>
      <c r="SJP67" s="132" t="s">
        <v>113</v>
      </c>
      <c r="SJQ67" s="133">
        <v>45845</v>
      </c>
      <c r="SJR67" s="128" t="s">
        <v>41</v>
      </c>
      <c r="SJS67" s="207"/>
      <c r="SJT67" s="134" t="s">
        <v>136</v>
      </c>
      <c r="SJU67" s="205"/>
      <c r="SJV67" s="206"/>
      <c r="SJW67" s="128" t="s">
        <v>24</v>
      </c>
      <c r="SJX67" s="129">
        <v>8150</v>
      </c>
      <c r="SJY67" s="137">
        <v>85</v>
      </c>
      <c r="SJZ67" s="138">
        <v>215</v>
      </c>
      <c r="SKA67" s="138">
        <v>75</v>
      </c>
      <c r="SKB67" s="137">
        <v>150</v>
      </c>
      <c r="SKC67" s="139">
        <f>SUM(SJX67:SKB67)</f>
        <v>8675</v>
      </c>
      <c r="SKD67" s="137">
        <v>200</v>
      </c>
      <c r="SKE67" s="139">
        <f>SUM(SKC67:SKD67)</f>
        <v>8875</v>
      </c>
      <c r="SKF67" s="132" t="s">
        <v>113</v>
      </c>
      <c r="SKG67" s="133">
        <v>45845</v>
      </c>
      <c r="SKH67" s="128" t="s">
        <v>41</v>
      </c>
      <c r="SKI67" s="207"/>
      <c r="SKJ67" s="134" t="s">
        <v>136</v>
      </c>
      <c r="SKK67" s="205"/>
      <c r="SKL67" s="206"/>
      <c r="SKM67" s="128" t="s">
        <v>24</v>
      </c>
      <c r="SKN67" s="129">
        <v>8150</v>
      </c>
      <c r="SKO67" s="137">
        <v>85</v>
      </c>
      <c r="SKP67" s="138">
        <v>215</v>
      </c>
      <c r="SKQ67" s="138">
        <v>75</v>
      </c>
      <c r="SKR67" s="137">
        <v>150</v>
      </c>
      <c r="SKS67" s="139">
        <f>SUM(SKN67:SKR67)</f>
        <v>8675</v>
      </c>
      <c r="SKT67" s="137">
        <v>200</v>
      </c>
      <c r="SKU67" s="139">
        <f>SUM(SKS67:SKT67)</f>
        <v>8875</v>
      </c>
      <c r="SKV67" s="132" t="s">
        <v>113</v>
      </c>
      <c r="SKW67" s="133">
        <v>45845</v>
      </c>
      <c r="SKX67" s="128" t="s">
        <v>41</v>
      </c>
      <c r="SKY67" s="207"/>
      <c r="SKZ67" s="134" t="s">
        <v>136</v>
      </c>
      <c r="SLA67" s="205"/>
      <c r="SLB67" s="206"/>
      <c r="SLC67" s="128" t="s">
        <v>24</v>
      </c>
      <c r="SLD67" s="129">
        <v>8150</v>
      </c>
      <c r="SLE67" s="137">
        <v>85</v>
      </c>
      <c r="SLF67" s="138">
        <v>215</v>
      </c>
      <c r="SLG67" s="138">
        <v>75</v>
      </c>
      <c r="SLH67" s="137">
        <v>150</v>
      </c>
      <c r="SLI67" s="139">
        <f>SUM(SLD67:SLH67)</f>
        <v>8675</v>
      </c>
      <c r="SLJ67" s="137">
        <v>200</v>
      </c>
      <c r="SLK67" s="139">
        <f>SUM(SLI67:SLJ67)</f>
        <v>8875</v>
      </c>
      <c r="SLL67" s="132" t="s">
        <v>113</v>
      </c>
      <c r="SLM67" s="133">
        <v>45845</v>
      </c>
      <c r="SLN67" s="128" t="s">
        <v>41</v>
      </c>
      <c r="SLO67" s="207"/>
      <c r="SLP67" s="134" t="s">
        <v>136</v>
      </c>
      <c r="SLQ67" s="205"/>
      <c r="SLR67" s="206"/>
      <c r="SLS67" s="128" t="s">
        <v>24</v>
      </c>
      <c r="SLT67" s="129">
        <v>8150</v>
      </c>
      <c r="SLU67" s="137">
        <v>85</v>
      </c>
      <c r="SLV67" s="138">
        <v>215</v>
      </c>
      <c r="SLW67" s="138">
        <v>75</v>
      </c>
      <c r="SLX67" s="137">
        <v>150</v>
      </c>
      <c r="SLY67" s="139">
        <f>SUM(SLT67:SLX67)</f>
        <v>8675</v>
      </c>
      <c r="SLZ67" s="137">
        <v>200</v>
      </c>
      <c r="SMA67" s="139">
        <f>SUM(SLY67:SLZ67)</f>
        <v>8875</v>
      </c>
      <c r="SMB67" s="132" t="s">
        <v>113</v>
      </c>
      <c r="SMC67" s="133">
        <v>45845</v>
      </c>
      <c r="SMD67" s="128" t="s">
        <v>41</v>
      </c>
      <c r="SME67" s="207"/>
      <c r="SMF67" s="134" t="s">
        <v>136</v>
      </c>
      <c r="SMG67" s="205"/>
      <c r="SMH67" s="206"/>
      <c r="SMI67" s="128" t="s">
        <v>24</v>
      </c>
      <c r="SMJ67" s="129">
        <v>8150</v>
      </c>
      <c r="SMK67" s="137">
        <v>85</v>
      </c>
      <c r="SML67" s="138">
        <v>215</v>
      </c>
      <c r="SMM67" s="138">
        <v>75</v>
      </c>
      <c r="SMN67" s="137">
        <v>150</v>
      </c>
      <c r="SMO67" s="139">
        <f>SUM(SMJ67:SMN67)</f>
        <v>8675</v>
      </c>
      <c r="SMP67" s="137">
        <v>200</v>
      </c>
      <c r="SMQ67" s="139">
        <f>SUM(SMO67:SMP67)</f>
        <v>8875</v>
      </c>
      <c r="SMR67" s="132" t="s">
        <v>113</v>
      </c>
      <c r="SMS67" s="133">
        <v>45845</v>
      </c>
      <c r="SMT67" s="128" t="s">
        <v>41</v>
      </c>
      <c r="SMU67" s="207"/>
      <c r="SMV67" s="134" t="s">
        <v>136</v>
      </c>
      <c r="SMW67" s="205"/>
      <c r="SMX67" s="206"/>
      <c r="SMY67" s="128" t="s">
        <v>24</v>
      </c>
      <c r="SMZ67" s="129">
        <v>8150</v>
      </c>
      <c r="SNA67" s="137">
        <v>85</v>
      </c>
      <c r="SNB67" s="138">
        <v>215</v>
      </c>
      <c r="SNC67" s="138">
        <v>75</v>
      </c>
      <c r="SND67" s="137">
        <v>150</v>
      </c>
      <c r="SNE67" s="139">
        <f>SUM(SMZ67:SND67)</f>
        <v>8675</v>
      </c>
      <c r="SNF67" s="137">
        <v>200</v>
      </c>
      <c r="SNG67" s="139">
        <f>SUM(SNE67:SNF67)</f>
        <v>8875</v>
      </c>
      <c r="SNH67" s="132" t="s">
        <v>113</v>
      </c>
      <c r="SNI67" s="133">
        <v>45845</v>
      </c>
      <c r="SNJ67" s="128" t="s">
        <v>41</v>
      </c>
      <c r="SNK67" s="207"/>
      <c r="SNL67" s="134" t="s">
        <v>136</v>
      </c>
      <c r="SNM67" s="205"/>
      <c r="SNN67" s="206"/>
      <c r="SNO67" s="128" t="s">
        <v>24</v>
      </c>
      <c r="SNP67" s="129">
        <v>8150</v>
      </c>
      <c r="SNQ67" s="137">
        <v>85</v>
      </c>
      <c r="SNR67" s="138">
        <v>215</v>
      </c>
      <c r="SNS67" s="138">
        <v>75</v>
      </c>
      <c r="SNT67" s="137">
        <v>150</v>
      </c>
      <c r="SNU67" s="139">
        <f>SUM(SNP67:SNT67)</f>
        <v>8675</v>
      </c>
      <c r="SNV67" s="137">
        <v>200</v>
      </c>
      <c r="SNW67" s="139">
        <f>SUM(SNU67:SNV67)</f>
        <v>8875</v>
      </c>
      <c r="SNX67" s="132" t="s">
        <v>113</v>
      </c>
      <c r="SNY67" s="133">
        <v>45845</v>
      </c>
      <c r="SNZ67" s="128" t="s">
        <v>41</v>
      </c>
      <c r="SOA67" s="207"/>
      <c r="SOB67" s="134" t="s">
        <v>136</v>
      </c>
      <c r="SOC67" s="205"/>
      <c r="SOD67" s="206"/>
      <c r="SOE67" s="128" t="s">
        <v>24</v>
      </c>
      <c r="SOF67" s="129">
        <v>8150</v>
      </c>
      <c r="SOG67" s="137">
        <v>85</v>
      </c>
      <c r="SOH67" s="138">
        <v>215</v>
      </c>
      <c r="SOI67" s="138">
        <v>75</v>
      </c>
      <c r="SOJ67" s="137">
        <v>150</v>
      </c>
      <c r="SOK67" s="139">
        <f>SUM(SOF67:SOJ67)</f>
        <v>8675</v>
      </c>
      <c r="SOL67" s="137">
        <v>200</v>
      </c>
      <c r="SOM67" s="139">
        <f>SUM(SOK67:SOL67)</f>
        <v>8875</v>
      </c>
      <c r="SON67" s="132" t="s">
        <v>113</v>
      </c>
      <c r="SOO67" s="133">
        <v>45845</v>
      </c>
      <c r="SOP67" s="128" t="s">
        <v>41</v>
      </c>
      <c r="SOQ67" s="207"/>
      <c r="SOR67" s="134" t="s">
        <v>136</v>
      </c>
      <c r="SOS67" s="205"/>
      <c r="SOT67" s="206"/>
      <c r="SOU67" s="128" t="s">
        <v>24</v>
      </c>
      <c r="SOV67" s="129">
        <v>8150</v>
      </c>
      <c r="SOW67" s="137">
        <v>85</v>
      </c>
      <c r="SOX67" s="138">
        <v>215</v>
      </c>
      <c r="SOY67" s="138">
        <v>75</v>
      </c>
      <c r="SOZ67" s="137">
        <v>150</v>
      </c>
      <c r="SPA67" s="139">
        <f>SUM(SOV67:SOZ67)</f>
        <v>8675</v>
      </c>
      <c r="SPB67" s="137">
        <v>200</v>
      </c>
      <c r="SPC67" s="139">
        <f>SUM(SPA67:SPB67)</f>
        <v>8875</v>
      </c>
      <c r="SPD67" s="132" t="s">
        <v>113</v>
      </c>
      <c r="SPE67" s="133">
        <v>45845</v>
      </c>
      <c r="SPF67" s="128" t="s">
        <v>41</v>
      </c>
      <c r="SPG67" s="207"/>
      <c r="SPH67" s="134" t="s">
        <v>136</v>
      </c>
      <c r="SPI67" s="205"/>
      <c r="SPJ67" s="206"/>
      <c r="SPK67" s="128" t="s">
        <v>24</v>
      </c>
      <c r="SPL67" s="129">
        <v>8150</v>
      </c>
      <c r="SPM67" s="137">
        <v>85</v>
      </c>
      <c r="SPN67" s="138">
        <v>215</v>
      </c>
      <c r="SPO67" s="138">
        <v>75</v>
      </c>
      <c r="SPP67" s="137">
        <v>150</v>
      </c>
      <c r="SPQ67" s="139">
        <f>SUM(SPL67:SPP67)</f>
        <v>8675</v>
      </c>
      <c r="SPR67" s="137">
        <v>200</v>
      </c>
      <c r="SPS67" s="139">
        <f>SUM(SPQ67:SPR67)</f>
        <v>8875</v>
      </c>
      <c r="SPT67" s="132" t="s">
        <v>113</v>
      </c>
      <c r="SPU67" s="133">
        <v>45845</v>
      </c>
      <c r="SPV67" s="128" t="s">
        <v>41</v>
      </c>
      <c r="SPW67" s="207"/>
      <c r="SPX67" s="134" t="s">
        <v>136</v>
      </c>
      <c r="SPY67" s="205"/>
      <c r="SPZ67" s="206"/>
      <c r="SQA67" s="128" t="s">
        <v>24</v>
      </c>
      <c r="SQB67" s="129">
        <v>8150</v>
      </c>
      <c r="SQC67" s="137">
        <v>85</v>
      </c>
      <c r="SQD67" s="138">
        <v>215</v>
      </c>
      <c r="SQE67" s="138">
        <v>75</v>
      </c>
      <c r="SQF67" s="137">
        <v>150</v>
      </c>
      <c r="SQG67" s="139">
        <f>SUM(SQB67:SQF67)</f>
        <v>8675</v>
      </c>
      <c r="SQH67" s="137">
        <v>200</v>
      </c>
      <c r="SQI67" s="139">
        <f>SUM(SQG67:SQH67)</f>
        <v>8875</v>
      </c>
      <c r="SQJ67" s="132" t="s">
        <v>113</v>
      </c>
      <c r="SQK67" s="133">
        <v>45845</v>
      </c>
      <c r="SQL67" s="128" t="s">
        <v>41</v>
      </c>
      <c r="SQM67" s="207"/>
      <c r="SQN67" s="134" t="s">
        <v>136</v>
      </c>
      <c r="SQO67" s="205"/>
      <c r="SQP67" s="206"/>
      <c r="SQQ67" s="128" t="s">
        <v>24</v>
      </c>
      <c r="SQR67" s="129">
        <v>8150</v>
      </c>
      <c r="SQS67" s="137">
        <v>85</v>
      </c>
      <c r="SQT67" s="138">
        <v>215</v>
      </c>
      <c r="SQU67" s="138">
        <v>75</v>
      </c>
      <c r="SQV67" s="137">
        <v>150</v>
      </c>
      <c r="SQW67" s="139">
        <f>SUM(SQR67:SQV67)</f>
        <v>8675</v>
      </c>
      <c r="SQX67" s="137">
        <v>200</v>
      </c>
      <c r="SQY67" s="139">
        <f>SUM(SQW67:SQX67)</f>
        <v>8875</v>
      </c>
      <c r="SQZ67" s="132" t="s">
        <v>113</v>
      </c>
      <c r="SRA67" s="133">
        <v>45845</v>
      </c>
      <c r="SRB67" s="128" t="s">
        <v>41</v>
      </c>
      <c r="SRC67" s="207"/>
      <c r="SRD67" s="134" t="s">
        <v>136</v>
      </c>
      <c r="SRE67" s="205"/>
      <c r="SRF67" s="206"/>
      <c r="SRG67" s="128" t="s">
        <v>24</v>
      </c>
      <c r="SRH67" s="129">
        <v>8150</v>
      </c>
      <c r="SRI67" s="137">
        <v>85</v>
      </c>
      <c r="SRJ67" s="138">
        <v>215</v>
      </c>
      <c r="SRK67" s="138">
        <v>75</v>
      </c>
      <c r="SRL67" s="137">
        <v>150</v>
      </c>
      <c r="SRM67" s="139">
        <f>SUM(SRH67:SRL67)</f>
        <v>8675</v>
      </c>
      <c r="SRN67" s="137">
        <v>200</v>
      </c>
      <c r="SRO67" s="139">
        <f>SUM(SRM67:SRN67)</f>
        <v>8875</v>
      </c>
      <c r="SRP67" s="132" t="s">
        <v>113</v>
      </c>
      <c r="SRQ67" s="133">
        <v>45845</v>
      </c>
      <c r="SRR67" s="128" t="s">
        <v>41</v>
      </c>
      <c r="SRS67" s="207"/>
      <c r="SRT67" s="134" t="s">
        <v>136</v>
      </c>
      <c r="SRU67" s="205"/>
      <c r="SRV67" s="206"/>
      <c r="SRW67" s="128" t="s">
        <v>24</v>
      </c>
      <c r="SRX67" s="129">
        <v>8150</v>
      </c>
      <c r="SRY67" s="137">
        <v>85</v>
      </c>
      <c r="SRZ67" s="138">
        <v>215</v>
      </c>
      <c r="SSA67" s="138">
        <v>75</v>
      </c>
      <c r="SSB67" s="137">
        <v>150</v>
      </c>
      <c r="SSC67" s="139">
        <f>SUM(SRX67:SSB67)</f>
        <v>8675</v>
      </c>
      <c r="SSD67" s="137">
        <v>200</v>
      </c>
      <c r="SSE67" s="139">
        <f>SUM(SSC67:SSD67)</f>
        <v>8875</v>
      </c>
      <c r="SSF67" s="132" t="s">
        <v>113</v>
      </c>
      <c r="SSG67" s="133">
        <v>45845</v>
      </c>
      <c r="SSH67" s="128" t="s">
        <v>41</v>
      </c>
      <c r="SSI67" s="207"/>
      <c r="SSJ67" s="134" t="s">
        <v>136</v>
      </c>
      <c r="SSK67" s="205"/>
      <c r="SSL67" s="206"/>
      <c r="SSM67" s="128" t="s">
        <v>24</v>
      </c>
      <c r="SSN67" s="129">
        <v>8150</v>
      </c>
      <c r="SSO67" s="137">
        <v>85</v>
      </c>
      <c r="SSP67" s="138">
        <v>215</v>
      </c>
      <c r="SSQ67" s="138">
        <v>75</v>
      </c>
      <c r="SSR67" s="137">
        <v>150</v>
      </c>
      <c r="SSS67" s="139">
        <f>SUM(SSN67:SSR67)</f>
        <v>8675</v>
      </c>
      <c r="SST67" s="137">
        <v>200</v>
      </c>
      <c r="SSU67" s="139">
        <f>SUM(SSS67:SST67)</f>
        <v>8875</v>
      </c>
      <c r="SSV67" s="132" t="s">
        <v>113</v>
      </c>
      <c r="SSW67" s="133">
        <v>45845</v>
      </c>
      <c r="SSX67" s="128" t="s">
        <v>41</v>
      </c>
      <c r="SSY67" s="207"/>
      <c r="SSZ67" s="134" t="s">
        <v>136</v>
      </c>
      <c r="STA67" s="205"/>
      <c r="STB67" s="206"/>
      <c r="STC67" s="128" t="s">
        <v>24</v>
      </c>
      <c r="STD67" s="129">
        <v>8150</v>
      </c>
      <c r="STE67" s="137">
        <v>85</v>
      </c>
      <c r="STF67" s="138">
        <v>215</v>
      </c>
      <c r="STG67" s="138">
        <v>75</v>
      </c>
      <c r="STH67" s="137">
        <v>150</v>
      </c>
      <c r="STI67" s="139">
        <f>SUM(STD67:STH67)</f>
        <v>8675</v>
      </c>
      <c r="STJ67" s="137">
        <v>200</v>
      </c>
      <c r="STK67" s="139">
        <f>SUM(STI67:STJ67)</f>
        <v>8875</v>
      </c>
      <c r="STL67" s="132" t="s">
        <v>113</v>
      </c>
      <c r="STM67" s="133">
        <v>45845</v>
      </c>
      <c r="STN67" s="128" t="s">
        <v>41</v>
      </c>
      <c r="STO67" s="207"/>
      <c r="STP67" s="134" t="s">
        <v>136</v>
      </c>
      <c r="STQ67" s="205"/>
      <c r="STR67" s="206"/>
      <c r="STS67" s="128" t="s">
        <v>24</v>
      </c>
      <c r="STT67" s="129">
        <v>8150</v>
      </c>
      <c r="STU67" s="137">
        <v>85</v>
      </c>
      <c r="STV67" s="138">
        <v>215</v>
      </c>
      <c r="STW67" s="138">
        <v>75</v>
      </c>
      <c r="STX67" s="137">
        <v>150</v>
      </c>
      <c r="STY67" s="139">
        <f>SUM(STT67:STX67)</f>
        <v>8675</v>
      </c>
      <c r="STZ67" s="137">
        <v>200</v>
      </c>
      <c r="SUA67" s="139">
        <f>SUM(STY67:STZ67)</f>
        <v>8875</v>
      </c>
      <c r="SUB67" s="132" t="s">
        <v>113</v>
      </c>
      <c r="SUC67" s="133">
        <v>45845</v>
      </c>
      <c r="SUD67" s="128" t="s">
        <v>41</v>
      </c>
      <c r="SUE67" s="207"/>
      <c r="SUF67" s="134" t="s">
        <v>136</v>
      </c>
      <c r="SUG67" s="205"/>
      <c r="SUH67" s="206"/>
      <c r="SUI67" s="128" t="s">
        <v>24</v>
      </c>
      <c r="SUJ67" s="129">
        <v>8150</v>
      </c>
      <c r="SUK67" s="137">
        <v>85</v>
      </c>
      <c r="SUL67" s="138">
        <v>215</v>
      </c>
      <c r="SUM67" s="138">
        <v>75</v>
      </c>
      <c r="SUN67" s="137">
        <v>150</v>
      </c>
      <c r="SUO67" s="139">
        <f>SUM(SUJ67:SUN67)</f>
        <v>8675</v>
      </c>
      <c r="SUP67" s="137">
        <v>200</v>
      </c>
      <c r="SUQ67" s="139">
        <f>SUM(SUO67:SUP67)</f>
        <v>8875</v>
      </c>
      <c r="SUR67" s="132" t="s">
        <v>113</v>
      </c>
      <c r="SUS67" s="133">
        <v>45845</v>
      </c>
      <c r="SUT67" s="128" t="s">
        <v>41</v>
      </c>
      <c r="SUU67" s="207"/>
      <c r="SUV67" s="134" t="s">
        <v>136</v>
      </c>
      <c r="SUW67" s="205"/>
      <c r="SUX67" s="206"/>
      <c r="SUY67" s="128" t="s">
        <v>24</v>
      </c>
      <c r="SUZ67" s="129">
        <v>8150</v>
      </c>
      <c r="SVA67" s="137">
        <v>85</v>
      </c>
      <c r="SVB67" s="138">
        <v>215</v>
      </c>
      <c r="SVC67" s="138">
        <v>75</v>
      </c>
      <c r="SVD67" s="137">
        <v>150</v>
      </c>
      <c r="SVE67" s="139">
        <f>SUM(SUZ67:SVD67)</f>
        <v>8675</v>
      </c>
      <c r="SVF67" s="137">
        <v>200</v>
      </c>
      <c r="SVG67" s="139">
        <f>SUM(SVE67:SVF67)</f>
        <v>8875</v>
      </c>
      <c r="SVH67" s="132" t="s">
        <v>113</v>
      </c>
      <c r="SVI67" s="133">
        <v>45845</v>
      </c>
      <c r="SVJ67" s="128" t="s">
        <v>41</v>
      </c>
      <c r="SVK67" s="207"/>
      <c r="SVL67" s="134" t="s">
        <v>136</v>
      </c>
      <c r="SVM67" s="205"/>
      <c r="SVN67" s="206"/>
      <c r="SVO67" s="128" t="s">
        <v>24</v>
      </c>
      <c r="SVP67" s="129">
        <v>8150</v>
      </c>
      <c r="SVQ67" s="137">
        <v>85</v>
      </c>
      <c r="SVR67" s="138">
        <v>215</v>
      </c>
      <c r="SVS67" s="138">
        <v>75</v>
      </c>
      <c r="SVT67" s="137">
        <v>150</v>
      </c>
      <c r="SVU67" s="139">
        <f>SUM(SVP67:SVT67)</f>
        <v>8675</v>
      </c>
      <c r="SVV67" s="137">
        <v>200</v>
      </c>
      <c r="SVW67" s="139">
        <f>SUM(SVU67:SVV67)</f>
        <v>8875</v>
      </c>
      <c r="SVX67" s="132" t="s">
        <v>113</v>
      </c>
      <c r="SVY67" s="133">
        <v>45845</v>
      </c>
      <c r="SVZ67" s="128" t="s">
        <v>41</v>
      </c>
      <c r="SWA67" s="207"/>
      <c r="SWB67" s="134" t="s">
        <v>136</v>
      </c>
      <c r="SWC67" s="205"/>
      <c r="SWD67" s="206"/>
      <c r="SWE67" s="128" t="s">
        <v>24</v>
      </c>
      <c r="SWF67" s="129">
        <v>8150</v>
      </c>
      <c r="SWG67" s="137">
        <v>85</v>
      </c>
      <c r="SWH67" s="138">
        <v>215</v>
      </c>
      <c r="SWI67" s="138">
        <v>75</v>
      </c>
      <c r="SWJ67" s="137">
        <v>150</v>
      </c>
      <c r="SWK67" s="139">
        <f>SUM(SWF67:SWJ67)</f>
        <v>8675</v>
      </c>
      <c r="SWL67" s="137">
        <v>200</v>
      </c>
      <c r="SWM67" s="139">
        <f>SUM(SWK67:SWL67)</f>
        <v>8875</v>
      </c>
      <c r="SWN67" s="132" t="s">
        <v>113</v>
      </c>
      <c r="SWO67" s="133">
        <v>45845</v>
      </c>
      <c r="SWP67" s="128" t="s">
        <v>41</v>
      </c>
      <c r="SWQ67" s="207"/>
      <c r="SWR67" s="134" t="s">
        <v>136</v>
      </c>
      <c r="SWS67" s="205"/>
      <c r="SWT67" s="206"/>
      <c r="SWU67" s="128" t="s">
        <v>24</v>
      </c>
      <c r="SWV67" s="129">
        <v>8150</v>
      </c>
      <c r="SWW67" s="137">
        <v>85</v>
      </c>
      <c r="SWX67" s="138">
        <v>215</v>
      </c>
      <c r="SWY67" s="138">
        <v>75</v>
      </c>
      <c r="SWZ67" s="137">
        <v>150</v>
      </c>
      <c r="SXA67" s="139">
        <f>SUM(SWV67:SWZ67)</f>
        <v>8675</v>
      </c>
      <c r="SXB67" s="137">
        <v>200</v>
      </c>
      <c r="SXC67" s="139">
        <f>SUM(SXA67:SXB67)</f>
        <v>8875</v>
      </c>
      <c r="SXD67" s="132" t="s">
        <v>113</v>
      </c>
      <c r="SXE67" s="133">
        <v>45845</v>
      </c>
      <c r="SXF67" s="128" t="s">
        <v>41</v>
      </c>
      <c r="SXG67" s="207"/>
      <c r="SXH67" s="134" t="s">
        <v>136</v>
      </c>
      <c r="SXI67" s="205"/>
      <c r="SXJ67" s="206"/>
      <c r="SXK67" s="128" t="s">
        <v>24</v>
      </c>
      <c r="SXL67" s="129">
        <v>8150</v>
      </c>
      <c r="SXM67" s="137">
        <v>85</v>
      </c>
      <c r="SXN67" s="138">
        <v>215</v>
      </c>
      <c r="SXO67" s="138">
        <v>75</v>
      </c>
      <c r="SXP67" s="137">
        <v>150</v>
      </c>
      <c r="SXQ67" s="139">
        <f>SUM(SXL67:SXP67)</f>
        <v>8675</v>
      </c>
      <c r="SXR67" s="137">
        <v>200</v>
      </c>
      <c r="SXS67" s="139">
        <f>SUM(SXQ67:SXR67)</f>
        <v>8875</v>
      </c>
      <c r="SXT67" s="132" t="s">
        <v>113</v>
      </c>
      <c r="SXU67" s="133">
        <v>45845</v>
      </c>
      <c r="SXV67" s="128" t="s">
        <v>41</v>
      </c>
      <c r="SXW67" s="207"/>
      <c r="SXX67" s="134" t="s">
        <v>136</v>
      </c>
      <c r="SXY67" s="205"/>
      <c r="SXZ67" s="206"/>
      <c r="SYA67" s="128" t="s">
        <v>24</v>
      </c>
      <c r="SYB67" s="129">
        <v>8150</v>
      </c>
      <c r="SYC67" s="137">
        <v>85</v>
      </c>
      <c r="SYD67" s="138">
        <v>215</v>
      </c>
      <c r="SYE67" s="138">
        <v>75</v>
      </c>
      <c r="SYF67" s="137">
        <v>150</v>
      </c>
      <c r="SYG67" s="139">
        <f>SUM(SYB67:SYF67)</f>
        <v>8675</v>
      </c>
      <c r="SYH67" s="137">
        <v>200</v>
      </c>
      <c r="SYI67" s="139">
        <f>SUM(SYG67:SYH67)</f>
        <v>8875</v>
      </c>
      <c r="SYJ67" s="132" t="s">
        <v>113</v>
      </c>
      <c r="SYK67" s="133">
        <v>45845</v>
      </c>
      <c r="SYL67" s="128" t="s">
        <v>41</v>
      </c>
      <c r="SYM67" s="207"/>
      <c r="SYN67" s="134" t="s">
        <v>136</v>
      </c>
      <c r="SYO67" s="205"/>
      <c r="SYP67" s="206"/>
      <c r="SYQ67" s="128" t="s">
        <v>24</v>
      </c>
      <c r="SYR67" s="129">
        <v>8150</v>
      </c>
      <c r="SYS67" s="137">
        <v>85</v>
      </c>
      <c r="SYT67" s="138">
        <v>215</v>
      </c>
      <c r="SYU67" s="138">
        <v>75</v>
      </c>
      <c r="SYV67" s="137">
        <v>150</v>
      </c>
      <c r="SYW67" s="139">
        <f>SUM(SYR67:SYV67)</f>
        <v>8675</v>
      </c>
      <c r="SYX67" s="137">
        <v>200</v>
      </c>
      <c r="SYY67" s="139">
        <f>SUM(SYW67:SYX67)</f>
        <v>8875</v>
      </c>
      <c r="SYZ67" s="132" t="s">
        <v>113</v>
      </c>
      <c r="SZA67" s="133">
        <v>45845</v>
      </c>
      <c r="SZB67" s="128" t="s">
        <v>41</v>
      </c>
      <c r="SZC67" s="207"/>
      <c r="SZD67" s="134" t="s">
        <v>136</v>
      </c>
      <c r="SZE67" s="205"/>
      <c r="SZF67" s="206"/>
      <c r="SZG67" s="128" t="s">
        <v>24</v>
      </c>
      <c r="SZH67" s="129">
        <v>8150</v>
      </c>
      <c r="SZI67" s="137">
        <v>85</v>
      </c>
      <c r="SZJ67" s="138">
        <v>215</v>
      </c>
      <c r="SZK67" s="138">
        <v>75</v>
      </c>
      <c r="SZL67" s="137">
        <v>150</v>
      </c>
      <c r="SZM67" s="139">
        <f>SUM(SZH67:SZL67)</f>
        <v>8675</v>
      </c>
      <c r="SZN67" s="137">
        <v>200</v>
      </c>
      <c r="SZO67" s="139">
        <f>SUM(SZM67:SZN67)</f>
        <v>8875</v>
      </c>
      <c r="SZP67" s="132" t="s">
        <v>113</v>
      </c>
      <c r="SZQ67" s="133">
        <v>45845</v>
      </c>
      <c r="SZR67" s="128" t="s">
        <v>41</v>
      </c>
      <c r="SZS67" s="207"/>
      <c r="SZT67" s="134" t="s">
        <v>136</v>
      </c>
      <c r="SZU67" s="205"/>
      <c r="SZV67" s="206"/>
      <c r="SZW67" s="128" t="s">
        <v>24</v>
      </c>
      <c r="SZX67" s="129">
        <v>8150</v>
      </c>
      <c r="SZY67" s="137">
        <v>85</v>
      </c>
      <c r="SZZ67" s="138">
        <v>215</v>
      </c>
      <c r="TAA67" s="138">
        <v>75</v>
      </c>
      <c r="TAB67" s="137">
        <v>150</v>
      </c>
      <c r="TAC67" s="139">
        <f>SUM(SZX67:TAB67)</f>
        <v>8675</v>
      </c>
      <c r="TAD67" s="137">
        <v>200</v>
      </c>
      <c r="TAE67" s="139">
        <f>SUM(TAC67:TAD67)</f>
        <v>8875</v>
      </c>
      <c r="TAF67" s="132" t="s">
        <v>113</v>
      </c>
      <c r="TAG67" s="133">
        <v>45845</v>
      </c>
      <c r="TAH67" s="128" t="s">
        <v>41</v>
      </c>
      <c r="TAI67" s="207"/>
      <c r="TAJ67" s="134" t="s">
        <v>136</v>
      </c>
      <c r="TAK67" s="205"/>
      <c r="TAL67" s="206"/>
      <c r="TAM67" s="128" t="s">
        <v>24</v>
      </c>
      <c r="TAN67" s="129">
        <v>8150</v>
      </c>
      <c r="TAO67" s="137">
        <v>85</v>
      </c>
      <c r="TAP67" s="138">
        <v>215</v>
      </c>
      <c r="TAQ67" s="138">
        <v>75</v>
      </c>
      <c r="TAR67" s="137">
        <v>150</v>
      </c>
      <c r="TAS67" s="139">
        <f>SUM(TAN67:TAR67)</f>
        <v>8675</v>
      </c>
      <c r="TAT67" s="137">
        <v>200</v>
      </c>
      <c r="TAU67" s="139">
        <f>SUM(TAS67:TAT67)</f>
        <v>8875</v>
      </c>
      <c r="TAV67" s="132" t="s">
        <v>113</v>
      </c>
      <c r="TAW67" s="133">
        <v>45845</v>
      </c>
      <c r="TAX67" s="128" t="s">
        <v>41</v>
      </c>
      <c r="TAY67" s="207"/>
      <c r="TAZ67" s="134" t="s">
        <v>136</v>
      </c>
      <c r="TBA67" s="205"/>
      <c r="TBB67" s="206"/>
      <c r="TBC67" s="128" t="s">
        <v>24</v>
      </c>
      <c r="TBD67" s="129">
        <v>8150</v>
      </c>
      <c r="TBE67" s="137">
        <v>85</v>
      </c>
      <c r="TBF67" s="138">
        <v>215</v>
      </c>
      <c r="TBG67" s="138">
        <v>75</v>
      </c>
      <c r="TBH67" s="137">
        <v>150</v>
      </c>
      <c r="TBI67" s="139">
        <f>SUM(TBD67:TBH67)</f>
        <v>8675</v>
      </c>
      <c r="TBJ67" s="137">
        <v>200</v>
      </c>
      <c r="TBK67" s="139">
        <f>SUM(TBI67:TBJ67)</f>
        <v>8875</v>
      </c>
      <c r="TBL67" s="132" t="s">
        <v>113</v>
      </c>
      <c r="TBM67" s="133">
        <v>45845</v>
      </c>
      <c r="TBN67" s="128" t="s">
        <v>41</v>
      </c>
      <c r="TBO67" s="207"/>
      <c r="TBP67" s="134" t="s">
        <v>136</v>
      </c>
      <c r="TBQ67" s="205"/>
      <c r="TBR67" s="206"/>
      <c r="TBS67" s="128" t="s">
        <v>24</v>
      </c>
      <c r="TBT67" s="129">
        <v>8150</v>
      </c>
      <c r="TBU67" s="137">
        <v>85</v>
      </c>
      <c r="TBV67" s="138">
        <v>215</v>
      </c>
      <c r="TBW67" s="138">
        <v>75</v>
      </c>
      <c r="TBX67" s="137">
        <v>150</v>
      </c>
      <c r="TBY67" s="139">
        <f>SUM(TBT67:TBX67)</f>
        <v>8675</v>
      </c>
      <c r="TBZ67" s="137">
        <v>200</v>
      </c>
      <c r="TCA67" s="139">
        <f>SUM(TBY67:TBZ67)</f>
        <v>8875</v>
      </c>
      <c r="TCB67" s="132" t="s">
        <v>113</v>
      </c>
      <c r="TCC67" s="133">
        <v>45845</v>
      </c>
      <c r="TCD67" s="128" t="s">
        <v>41</v>
      </c>
      <c r="TCE67" s="207"/>
      <c r="TCF67" s="134" t="s">
        <v>136</v>
      </c>
      <c r="TCG67" s="205"/>
      <c r="TCH67" s="206"/>
      <c r="TCI67" s="128" t="s">
        <v>24</v>
      </c>
      <c r="TCJ67" s="129">
        <v>8150</v>
      </c>
      <c r="TCK67" s="137">
        <v>85</v>
      </c>
      <c r="TCL67" s="138">
        <v>215</v>
      </c>
      <c r="TCM67" s="138">
        <v>75</v>
      </c>
      <c r="TCN67" s="137">
        <v>150</v>
      </c>
      <c r="TCO67" s="139">
        <f>SUM(TCJ67:TCN67)</f>
        <v>8675</v>
      </c>
      <c r="TCP67" s="137">
        <v>200</v>
      </c>
      <c r="TCQ67" s="139">
        <f>SUM(TCO67:TCP67)</f>
        <v>8875</v>
      </c>
      <c r="TCR67" s="132" t="s">
        <v>113</v>
      </c>
      <c r="TCS67" s="133">
        <v>45845</v>
      </c>
      <c r="TCT67" s="128" t="s">
        <v>41</v>
      </c>
      <c r="TCU67" s="207"/>
      <c r="TCV67" s="134" t="s">
        <v>136</v>
      </c>
      <c r="TCW67" s="205"/>
      <c r="TCX67" s="206"/>
      <c r="TCY67" s="128" t="s">
        <v>24</v>
      </c>
      <c r="TCZ67" s="129">
        <v>8150</v>
      </c>
      <c r="TDA67" s="137">
        <v>85</v>
      </c>
      <c r="TDB67" s="138">
        <v>215</v>
      </c>
      <c r="TDC67" s="138">
        <v>75</v>
      </c>
      <c r="TDD67" s="137">
        <v>150</v>
      </c>
      <c r="TDE67" s="139">
        <f>SUM(TCZ67:TDD67)</f>
        <v>8675</v>
      </c>
      <c r="TDF67" s="137">
        <v>200</v>
      </c>
      <c r="TDG67" s="139">
        <f>SUM(TDE67:TDF67)</f>
        <v>8875</v>
      </c>
      <c r="TDH67" s="132" t="s">
        <v>113</v>
      </c>
      <c r="TDI67" s="133">
        <v>45845</v>
      </c>
      <c r="TDJ67" s="128" t="s">
        <v>41</v>
      </c>
      <c r="TDK67" s="207"/>
      <c r="TDL67" s="134" t="s">
        <v>136</v>
      </c>
      <c r="TDM67" s="205"/>
      <c r="TDN67" s="206"/>
      <c r="TDO67" s="128" t="s">
        <v>24</v>
      </c>
      <c r="TDP67" s="129">
        <v>8150</v>
      </c>
      <c r="TDQ67" s="137">
        <v>85</v>
      </c>
      <c r="TDR67" s="138">
        <v>215</v>
      </c>
      <c r="TDS67" s="138">
        <v>75</v>
      </c>
      <c r="TDT67" s="137">
        <v>150</v>
      </c>
      <c r="TDU67" s="139">
        <f>SUM(TDP67:TDT67)</f>
        <v>8675</v>
      </c>
      <c r="TDV67" s="137">
        <v>200</v>
      </c>
      <c r="TDW67" s="139">
        <f>SUM(TDU67:TDV67)</f>
        <v>8875</v>
      </c>
      <c r="TDX67" s="132" t="s">
        <v>113</v>
      </c>
      <c r="TDY67" s="133">
        <v>45845</v>
      </c>
      <c r="TDZ67" s="128" t="s">
        <v>41</v>
      </c>
      <c r="TEA67" s="207"/>
      <c r="TEB67" s="134" t="s">
        <v>136</v>
      </c>
      <c r="TEC67" s="205"/>
      <c r="TED67" s="206"/>
      <c r="TEE67" s="128" t="s">
        <v>24</v>
      </c>
      <c r="TEF67" s="129">
        <v>8150</v>
      </c>
      <c r="TEG67" s="137">
        <v>85</v>
      </c>
      <c r="TEH67" s="138">
        <v>215</v>
      </c>
      <c r="TEI67" s="138">
        <v>75</v>
      </c>
      <c r="TEJ67" s="137">
        <v>150</v>
      </c>
      <c r="TEK67" s="139">
        <f>SUM(TEF67:TEJ67)</f>
        <v>8675</v>
      </c>
      <c r="TEL67" s="137">
        <v>200</v>
      </c>
      <c r="TEM67" s="139">
        <f>SUM(TEK67:TEL67)</f>
        <v>8875</v>
      </c>
      <c r="TEN67" s="132" t="s">
        <v>113</v>
      </c>
      <c r="TEO67" s="133">
        <v>45845</v>
      </c>
      <c r="TEP67" s="128" t="s">
        <v>41</v>
      </c>
      <c r="TEQ67" s="207"/>
      <c r="TER67" s="134" t="s">
        <v>136</v>
      </c>
      <c r="TES67" s="205"/>
      <c r="TET67" s="206"/>
      <c r="TEU67" s="128" t="s">
        <v>24</v>
      </c>
      <c r="TEV67" s="129">
        <v>8150</v>
      </c>
      <c r="TEW67" s="137">
        <v>85</v>
      </c>
      <c r="TEX67" s="138">
        <v>215</v>
      </c>
      <c r="TEY67" s="138">
        <v>75</v>
      </c>
      <c r="TEZ67" s="137">
        <v>150</v>
      </c>
      <c r="TFA67" s="139">
        <f>SUM(TEV67:TEZ67)</f>
        <v>8675</v>
      </c>
      <c r="TFB67" s="137">
        <v>200</v>
      </c>
      <c r="TFC67" s="139">
        <f>SUM(TFA67:TFB67)</f>
        <v>8875</v>
      </c>
      <c r="TFD67" s="132" t="s">
        <v>113</v>
      </c>
      <c r="TFE67" s="133">
        <v>45845</v>
      </c>
      <c r="TFF67" s="128" t="s">
        <v>41</v>
      </c>
      <c r="TFG67" s="207"/>
      <c r="TFH67" s="134" t="s">
        <v>136</v>
      </c>
      <c r="TFI67" s="205"/>
      <c r="TFJ67" s="206"/>
      <c r="TFK67" s="128" t="s">
        <v>24</v>
      </c>
      <c r="TFL67" s="129">
        <v>8150</v>
      </c>
      <c r="TFM67" s="137">
        <v>85</v>
      </c>
      <c r="TFN67" s="138">
        <v>215</v>
      </c>
      <c r="TFO67" s="138">
        <v>75</v>
      </c>
      <c r="TFP67" s="137">
        <v>150</v>
      </c>
      <c r="TFQ67" s="139">
        <f>SUM(TFL67:TFP67)</f>
        <v>8675</v>
      </c>
      <c r="TFR67" s="137">
        <v>200</v>
      </c>
      <c r="TFS67" s="139">
        <f>SUM(TFQ67:TFR67)</f>
        <v>8875</v>
      </c>
      <c r="TFT67" s="132" t="s">
        <v>113</v>
      </c>
      <c r="TFU67" s="133">
        <v>45845</v>
      </c>
      <c r="TFV67" s="128" t="s">
        <v>41</v>
      </c>
      <c r="TFW67" s="207"/>
      <c r="TFX67" s="134" t="s">
        <v>136</v>
      </c>
      <c r="TFY67" s="205"/>
      <c r="TFZ67" s="206"/>
      <c r="TGA67" s="128" t="s">
        <v>24</v>
      </c>
      <c r="TGB67" s="129">
        <v>8150</v>
      </c>
      <c r="TGC67" s="137">
        <v>85</v>
      </c>
      <c r="TGD67" s="138">
        <v>215</v>
      </c>
      <c r="TGE67" s="138">
        <v>75</v>
      </c>
      <c r="TGF67" s="137">
        <v>150</v>
      </c>
      <c r="TGG67" s="139">
        <f>SUM(TGB67:TGF67)</f>
        <v>8675</v>
      </c>
      <c r="TGH67" s="137">
        <v>200</v>
      </c>
      <c r="TGI67" s="139">
        <f>SUM(TGG67:TGH67)</f>
        <v>8875</v>
      </c>
      <c r="TGJ67" s="132" t="s">
        <v>113</v>
      </c>
      <c r="TGK67" s="133">
        <v>45845</v>
      </c>
      <c r="TGL67" s="128" t="s">
        <v>41</v>
      </c>
      <c r="TGM67" s="207"/>
      <c r="TGN67" s="134" t="s">
        <v>136</v>
      </c>
      <c r="TGO67" s="205"/>
      <c r="TGP67" s="206"/>
      <c r="TGQ67" s="128" t="s">
        <v>24</v>
      </c>
      <c r="TGR67" s="129">
        <v>8150</v>
      </c>
      <c r="TGS67" s="137">
        <v>85</v>
      </c>
      <c r="TGT67" s="138">
        <v>215</v>
      </c>
      <c r="TGU67" s="138">
        <v>75</v>
      </c>
      <c r="TGV67" s="137">
        <v>150</v>
      </c>
      <c r="TGW67" s="139">
        <f>SUM(TGR67:TGV67)</f>
        <v>8675</v>
      </c>
      <c r="TGX67" s="137">
        <v>200</v>
      </c>
      <c r="TGY67" s="139">
        <f>SUM(TGW67:TGX67)</f>
        <v>8875</v>
      </c>
      <c r="TGZ67" s="132" t="s">
        <v>113</v>
      </c>
      <c r="THA67" s="133">
        <v>45845</v>
      </c>
      <c r="THB67" s="128" t="s">
        <v>41</v>
      </c>
      <c r="THC67" s="207"/>
      <c r="THD67" s="134" t="s">
        <v>136</v>
      </c>
      <c r="THE67" s="205"/>
      <c r="THF67" s="206"/>
      <c r="THG67" s="128" t="s">
        <v>24</v>
      </c>
      <c r="THH67" s="129">
        <v>8150</v>
      </c>
      <c r="THI67" s="137">
        <v>85</v>
      </c>
      <c r="THJ67" s="138">
        <v>215</v>
      </c>
      <c r="THK67" s="138">
        <v>75</v>
      </c>
      <c r="THL67" s="137">
        <v>150</v>
      </c>
      <c r="THM67" s="139">
        <f>SUM(THH67:THL67)</f>
        <v>8675</v>
      </c>
      <c r="THN67" s="137">
        <v>200</v>
      </c>
      <c r="THO67" s="139">
        <f>SUM(THM67:THN67)</f>
        <v>8875</v>
      </c>
      <c r="THP67" s="132" t="s">
        <v>113</v>
      </c>
      <c r="THQ67" s="133">
        <v>45845</v>
      </c>
      <c r="THR67" s="128" t="s">
        <v>41</v>
      </c>
      <c r="THS67" s="207"/>
      <c r="THT67" s="134" t="s">
        <v>136</v>
      </c>
      <c r="THU67" s="205"/>
      <c r="THV67" s="206"/>
      <c r="THW67" s="128" t="s">
        <v>24</v>
      </c>
      <c r="THX67" s="129">
        <v>8150</v>
      </c>
      <c r="THY67" s="137">
        <v>85</v>
      </c>
      <c r="THZ67" s="138">
        <v>215</v>
      </c>
      <c r="TIA67" s="138">
        <v>75</v>
      </c>
      <c r="TIB67" s="137">
        <v>150</v>
      </c>
      <c r="TIC67" s="139">
        <f>SUM(THX67:TIB67)</f>
        <v>8675</v>
      </c>
      <c r="TID67" s="137">
        <v>200</v>
      </c>
      <c r="TIE67" s="139">
        <f>SUM(TIC67:TID67)</f>
        <v>8875</v>
      </c>
      <c r="TIF67" s="132" t="s">
        <v>113</v>
      </c>
      <c r="TIG67" s="133">
        <v>45845</v>
      </c>
      <c r="TIH67" s="128" t="s">
        <v>41</v>
      </c>
      <c r="TII67" s="207"/>
      <c r="TIJ67" s="134" t="s">
        <v>136</v>
      </c>
      <c r="TIK67" s="205"/>
      <c r="TIL67" s="206"/>
      <c r="TIM67" s="128" t="s">
        <v>24</v>
      </c>
      <c r="TIN67" s="129">
        <v>8150</v>
      </c>
      <c r="TIO67" s="137">
        <v>85</v>
      </c>
      <c r="TIP67" s="138">
        <v>215</v>
      </c>
      <c r="TIQ67" s="138">
        <v>75</v>
      </c>
      <c r="TIR67" s="137">
        <v>150</v>
      </c>
      <c r="TIS67" s="139">
        <f>SUM(TIN67:TIR67)</f>
        <v>8675</v>
      </c>
      <c r="TIT67" s="137">
        <v>200</v>
      </c>
      <c r="TIU67" s="139">
        <f>SUM(TIS67:TIT67)</f>
        <v>8875</v>
      </c>
      <c r="TIV67" s="132" t="s">
        <v>113</v>
      </c>
      <c r="TIW67" s="133">
        <v>45845</v>
      </c>
      <c r="TIX67" s="128" t="s">
        <v>41</v>
      </c>
      <c r="TIY67" s="207"/>
      <c r="TIZ67" s="134" t="s">
        <v>136</v>
      </c>
      <c r="TJA67" s="205"/>
      <c r="TJB67" s="206"/>
      <c r="TJC67" s="128" t="s">
        <v>24</v>
      </c>
      <c r="TJD67" s="129">
        <v>8150</v>
      </c>
      <c r="TJE67" s="137">
        <v>85</v>
      </c>
      <c r="TJF67" s="138">
        <v>215</v>
      </c>
      <c r="TJG67" s="138">
        <v>75</v>
      </c>
      <c r="TJH67" s="137">
        <v>150</v>
      </c>
      <c r="TJI67" s="139">
        <f>SUM(TJD67:TJH67)</f>
        <v>8675</v>
      </c>
      <c r="TJJ67" s="137">
        <v>200</v>
      </c>
      <c r="TJK67" s="139">
        <f>SUM(TJI67:TJJ67)</f>
        <v>8875</v>
      </c>
      <c r="TJL67" s="132" t="s">
        <v>113</v>
      </c>
      <c r="TJM67" s="133">
        <v>45845</v>
      </c>
      <c r="TJN67" s="128" t="s">
        <v>41</v>
      </c>
      <c r="TJO67" s="207"/>
      <c r="TJP67" s="134" t="s">
        <v>136</v>
      </c>
      <c r="TJQ67" s="205"/>
      <c r="TJR67" s="206"/>
      <c r="TJS67" s="128" t="s">
        <v>24</v>
      </c>
      <c r="TJT67" s="129">
        <v>8150</v>
      </c>
      <c r="TJU67" s="137">
        <v>85</v>
      </c>
      <c r="TJV67" s="138">
        <v>215</v>
      </c>
      <c r="TJW67" s="138">
        <v>75</v>
      </c>
      <c r="TJX67" s="137">
        <v>150</v>
      </c>
      <c r="TJY67" s="139">
        <f>SUM(TJT67:TJX67)</f>
        <v>8675</v>
      </c>
      <c r="TJZ67" s="137">
        <v>200</v>
      </c>
      <c r="TKA67" s="139">
        <f>SUM(TJY67:TJZ67)</f>
        <v>8875</v>
      </c>
      <c r="TKB67" s="132" t="s">
        <v>113</v>
      </c>
      <c r="TKC67" s="133">
        <v>45845</v>
      </c>
      <c r="TKD67" s="128" t="s">
        <v>41</v>
      </c>
      <c r="TKE67" s="207"/>
      <c r="TKF67" s="134" t="s">
        <v>136</v>
      </c>
      <c r="TKG67" s="205"/>
      <c r="TKH67" s="206"/>
      <c r="TKI67" s="128" t="s">
        <v>24</v>
      </c>
      <c r="TKJ67" s="129">
        <v>8150</v>
      </c>
      <c r="TKK67" s="137">
        <v>85</v>
      </c>
      <c r="TKL67" s="138">
        <v>215</v>
      </c>
      <c r="TKM67" s="138">
        <v>75</v>
      </c>
      <c r="TKN67" s="137">
        <v>150</v>
      </c>
      <c r="TKO67" s="139">
        <f>SUM(TKJ67:TKN67)</f>
        <v>8675</v>
      </c>
      <c r="TKP67" s="137">
        <v>200</v>
      </c>
      <c r="TKQ67" s="139">
        <f>SUM(TKO67:TKP67)</f>
        <v>8875</v>
      </c>
      <c r="TKR67" s="132" t="s">
        <v>113</v>
      </c>
      <c r="TKS67" s="133">
        <v>45845</v>
      </c>
      <c r="TKT67" s="128" t="s">
        <v>41</v>
      </c>
      <c r="TKU67" s="207"/>
      <c r="TKV67" s="134" t="s">
        <v>136</v>
      </c>
      <c r="TKW67" s="205"/>
      <c r="TKX67" s="206"/>
      <c r="TKY67" s="128" t="s">
        <v>24</v>
      </c>
      <c r="TKZ67" s="129">
        <v>8150</v>
      </c>
      <c r="TLA67" s="137">
        <v>85</v>
      </c>
      <c r="TLB67" s="138">
        <v>215</v>
      </c>
      <c r="TLC67" s="138">
        <v>75</v>
      </c>
      <c r="TLD67" s="137">
        <v>150</v>
      </c>
      <c r="TLE67" s="139">
        <f>SUM(TKZ67:TLD67)</f>
        <v>8675</v>
      </c>
      <c r="TLF67" s="137">
        <v>200</v>
      </c>
      <c r="TLG67" s="139">
        <f>SUM(TLE67:TLF67)</f>
        <v>8875</v>
      </c>
      <c r="TLH67" s="132" t="s">
        <v>113</v>
      </c>
      <c r="TLI67" s="133">
        <v>45845</v>
      </c>
      <c r="TLJ67" s="128" t="s">
        <v>41</v>
      </c>
      <c r="TLK67" s="207"/>
      <c r="TLL67" s="134" t="s">
        <v>136</v>
      </c>
      <c r="TLM67" s="205"/>
      <c r="TLN67" s="206"/>
      <c r="TLO67" s="128" t="s">
        <v>24</v>
      </c>
      <c r="TLP67" s="129">
        <v>8150</v>
      </c>
      <c r="TLQ67" s="137">
        <v>85</v>
      </c>
      <c r="TLR67" s="138">
        <v>215</v>
      </c>
      <c r="TLS67" s="138">
        <v>75</v>
      </c>
      <c r="TLT67" s="137">
        <v>150</v>
      </c>
      <c r="TLU67" s="139">
        <f>SUM(TLP67:TLT67)</f>
        <v>8675</v>
      </c>
      <c r="TLV67" s="137">
        <v>200</v>
      </c>
      <c r="TLW67" s="139">
        <f>SUM(TLU67:TLV67)</f>
        <v>8875</v>
      </c>
      <c r="TLX67" s="132" t="s">
        <v>113</v>
      </c>
      <c r="TLY67" s="133">
        <v>45845</v>
      </c>
      <c r="TLZ67" s="128" t="s">
        <v>41</v>
      </c>
      <c r="TMA67" s="207"/>
      <c r="TMB67" s="134" t="s">
        <v>136</v>
      </c>
      <c r="TMC67" s="205"/>
      <c r="TMD67" s="206"/>
      <c r="TME67" s="128" t="s">
        <v>24</v>
      </c>
      <c r="TMF67" s="129">
        <v>8150</v>
      </c>
      <c r="TMG67" s="137">
        <v>85</v>
      </c>
      <c r="TMH67" s="138">
        <v>215</v>
      </c>
      <c r="TMI67" s="138">
        <v>75</v>
      </c>
      <c r="TMJ67" s="137">
        <v>150</v>
      </c>
      <c r="TMK67" s="139">
        <f>SUM(TMF67:TMJ67)</f>
        <v>8675</v>
      </c>
      <c r="TML67" s="137">
        <v>200</v>
      </c>
      <c r="TMM67" s="139">
        <f>SUM(TMK67:TML67)</f>
        <v>8875</v>
      </c>
      <c r="TMN67" s="132" t="s">
        <v>113</v>
      </c>
      <c r="TMO67" s="133">
        <v>45845</v>
      </c>
      <c r="TMP67" s="128" t="s">
        <v>41</v>
      </c>
      <c r="TMQ67" s="207"/>
      <c r="TMR67" s="134" t="s">
        <v>136</v>
      </c>
      <c r="TMS67" s="205"/>
      <c r="TMT67" s="206"/>
      <c r="TMU67" s="128" t="s">
        <v>24</v>
      </c>
      <c r="TMV67" s="129">
        <v>8150</v>
      </c>
      <c r="TMW67" s="137">
        <v>85</v>
      </c>
      <c r="TMX67" s="138">
        <v>215</v>
      </c>
      <c r="TMY67" s="138">
        <v>75</v>
      </c>
      <c r="TMZ67" s="137">
        <v>150</v>
      </c>
      <c r="TNA67" s="139">
        <f>SUM(TMV67:TMZ67)</f>
        <v>8675</v>
      </c>
      <c r="TNB67" s="137">
        <v>200</v>
      </c>
      <c r="TNC67" s="139">
        <f>SUM(TNA67:TNB67)</f>
        <v>8875</v>
      </c>
      <c r="TND67" s="132" t="s">
        <v>113</v>
      </c>
      <c r="TNE67" s="133">
        <v>45845</v>
      </c>
      <c r="TNF67" s="128" t="s">
        <v>41</v>
      </c>
      <c r="TNG67" s="207"/>
      <c r="TNH67" s="134" t="s">
        <v>136</v>
      </c>
      <c r="TNI67" s="205"/>
      <c r="TNJ67" s="206"/>
      <c r="TNK67" s="128" t="s">
        <v>24</v>
      </c>
      <c r="TNL67" s="129">
        <v>8150</v>
      </c>
      <c r="TNM67" s="137">
        <v>85</v>
      </c>
      <c r="TNN67" s="138">
        <v>215</v>
      </c>
      <c r="TNO67" s="138">
        <v>75</v>
      </c>
      <c r="TNP67" s="137">
        <v>150</v>
      </c>
      <c r="TNQ67" s="139">
        <f>SUM(TNL67:TNP67)</f>
        <v>8675</v>
      </c>
      <c r="TNR67" s="137">
        <v>200</v>
      </c>
      <c r="TNS67" s="139">
        <f>SUM(TNQ67:TNR67)</f>
        <v>8875</v>
      </c>
      <c r="TNT67" s="132" t="s">
        <v>113</v>
      </c>
      <c r="TNU67" s="133">
        <v>45845</v>
      </c>
      <c r="TNV67" s="128" t="s">
        <v>41</v>
      </c>
      <c r="TNW67" s="207"/>
      <c r="TNX67" s="134" t="s">
        <v>136</v>
      </c>
      <c r="TNY67" s="205"/>
      <c r="TNZ67" s="206"/>
      <c r="TOA67" s="128" t="s">
        <v>24</v>
      </c>
      <c r="TOB67" s="129">
        <v>8150</v>
      </c>
      <c r="TOC67" s="137">
        <v>85</v>
      </c>
      <c r="TOD67" s="138">
        <v>215</v>
      </c>
      <c r="TOE67" s="138">
        <v>75</v>
      </c>
      <c r="TOF67" s="137">
        <v>150</v>
      </c>
      <c r="TOG67" s="139">
        <f>SUM(TOB67:TOF67)</f>
        <v>8675</v>
      </c>
      <c r="TOH67" s="137">
        <v>200</v>
      </c>
      <c r="TOI67" s="139">
        <f>SUM(TOG67:TOH67)</f>
        <v>8875</v>
      </c>
      <c r="TOJ67" s="132" t="s">
        <v>113</v>
      </c>
      <c r="TOK67" s="133">
        <v>45845</v>
      </c>
      <c r="TOL67" s="128" t="s">
        <v>41</v>
      </c>
      <c r="TOM67" s="207"/>
      <c r="TON67" s="134" t="s">
        <v>136</v>
      </c>
      <c r="TOO67" s="205"/>
      <c r="TOP67" s="206"/>
      <c r="TOQ67" s="128" t="s">
        <v>24</v>
      </c>
      <c r="TOR67" s="129">
        <v>8150</v>
      </c>
      <c r="TOS67" s="137">
        <v>85</v>
      </c>
      <c r="TOT67" s="138">
        <v>215</v>
      </c>
      <c r="TOU67" s="138">
        <v>75</v>
      </c>
      <c r="TOV67" s="137">
        <v>150</v>
      </c>
      <c r="TOW67" s="139">
        <f>SUM(TOR67:TOV67)</f>
        <v>8675</v>
      </c>
      <c r="TOX67" s="137">
        <v>200</v>
      </c>
      <c r="TOY67" s="139">
        <f>SUM(TOW67:TOX67)</f>
        <v>8875</v>
      </c>
      <c r="TOZ67" s="132" t="s">
        <v>113</v>
      </c>
      <c r="TPA67" s="133">
        <v>45845</v>
      </c>
      <c r="TPB67" s="128" t="s">
        <v>41</v>
      </c>
      <c r="TPC67" s="207"/>
      <c r="TPD67" s="134" t="s">
        <v>136</v>
      </c>
      <c r="TPE67" s="205"/>
      <c r="TPF67" s="206"/>
      <c r="TPG67" s="128" t="s">
        <v>24</v>
      </c>
      <c r="TPH67" s="129">
        <v>8150</v>
      </c>
      <c r="TPI67" s="137">
        <v>85</v>
      </c>
      <c r="TPJ67" s="138">
        <v>215</v>
      </c>
      <c r="TPK67" s="138">
        <v>75</v>
      </c>
      <c r="TPL67" s="137">
        <v>150</v>
      </c>
      <c r="TPM67" s="139">
        <f>SUM(TPH67:TPL67)</f>
        <v>8675</v>
      </c>
      <c r="TPN67" s="137">
        <v>200</v>
      </c>
      <c r="TPO67" s="139">
        <f>SUM(TPM67:TPN67)</f>
        <v>8875</v>
      </c>
      <c r="TPP67" s="132" t="s">
        <v>113</v>
      </c>
      <c r="TPQ67" s="133">
        <v>45845</v>
      </c>
      <c r="TPR67" s="128" t="s">
        <v>41</v>
      </c>
      <c r="TPS67" s="207"/>
      <c r="TPT67" s="134" t="s">
        <v>136</v>
      </c>
      <c r="TPU67" s="205"/>
      <c r="TPV67" s="206"/>
      <c r="TPW67" s="128" t="s">
        <v>24</v>
      </c>
      <c r="TPX67" s="129">
        <v>8150</v>
      </c>
      <c r="TPY67" s="137">
        <v>85</v>
      </c>
      <c r="TPZ67" s="138">
        <v>215</v>
      </c>
      <c r="TQA67" s="138">
        <v>75</v>
      </c>
      <c r="TQB67" s="137">
        <v>150</v>
      </c>
      <c r="TQC67" s="139">
        <f>SUM(TPX67:TQB67)</f>
        <v>8675</v>
      </c>
      <c r="TQD67" s="137">
        <v>200</v>
      </c>
      <c r="TQE67" s="139">
        <f>SUM(TQC67:TQD67)</f>
        <v>8875</v>
      </c>
      <c r="TQF67" s="132" t="s">
        <v>113</v>
      </c>
      <c r="TQG67" s="133">
        <v>45845</v>
      </c>
      <c r="TQH67" s="128" t="s">
        <v>41</v>
      </c>
      <c r="TQI67" s="207"/>
      <c r="TQJ67" s="134" t="s">
        <v>136</v>
      </c>
      <c r="TQK67" s="205"/>
      <c r="TQL67" s="206"/>
      <c r="TQM67" s="128" t="s">
        <v>24</v>
      </c>
      <c r="TQN67" s="129">
        <v>8150</v>
      </c>
      <c r="TQO67" s="137">
        <v>85</v>
      </c>
      <c r="TQP67" s="138">
        <v>215</v>
      </c>
      <c r="TQQ67" s="138">
        <v>75</v>
      </c>
      <c r="TQR67" s="137">
        <v>150</v>
      </c>
      <c r="TQS67" s="139">
        <f>SUM(TQN67:TQR67)</f>
        <v>8675</v>
      </c>
      <c r="TQT67" s="137">
        <v>200</v>
      </c>
      <c r="TQU67" s="139">
        <f>SUM(TQS67:TQT67)</f>
        <v>8875</v>
      </c>
      <c r="TQV67" s="132" t="s">
        <v>113</v>
      </c>
      <c r="TQW67" s="133">
        <v>45845</v>
      </c>
      <c r="TQX67" s="128" t="s">
        <v>41</v>
      </c>
      <c r="TQY67" s="207"/>
      <c r="TQZ67" s="134" t="s">
        <v>136</v>
      </c>
      <c r="TRA67" s="205"/>
      <c r="TRB67" s="206"/>
      <c r="TRC67" s="128" t="s">
        <v>24</v>
      </c>
      <c r="TRD67" s="129">
        <v>8150</v>
      </c>
      <c r="TRE67" s="137">
        <v>85</v>
      </c>
      <c r="TRF67" s="138">
        <v>215</v>
      </c>
      <c r="TRG67" s="138">
        <v>75</v>
      </c>
      <c r="TRH67" s="137">
        <v>150</v>
      </c>
      <c r="TRI67" s="139">
        <f>SUM(TRD67:TRH67)</f>
        <v>8675</v>
      </c>
      <c r="TRJ67" s="137">
        <v>200</v>
      </c>
      <c r="TRK67" s="139">
        <f>SUM(TRI67:TRJ67)</f>
        <v>8875</v>
      </c>
      <c r="TRL67" s="132" t="s">
        <v>113</v>
      </c>
      <c r="TRM67" s="133">
        <v>45845</v>
      </c>
      <c r="TRN67" s="128" t="s">
        <v>41</v>
      </c>
      <c r="TRO67" s="207"/>
      <c r="TRP67" s="134" t="s">
        <v>136</v>
      </c>
      <c r="TRQ67" s="205"/>
      <c r="TRR67" s="206"/>
      <c r="TRS67" s="128" t="s">
        <v>24</v>
      </c>
      <c r="TRT67" s="129">
        <v>8150</v>
      </c>
      <c r="TRU67" s="137">
        <v>85</v>
      </c>
      <c r="TRV67" s="138">
        <v>215</v>
      </c>
      <c r="TRW67" s="138">
        <v>75</v>
      </c>
      <c r="TRX67" s="137">
        <v>150</v>
      </c>
      <c r="TRY67" s="139">
        <f>SUM(TRT67:TRX67)</f>
        <v>8675</v>
      </c>
      <c r="TRZ67" s="137">
        <v>200</v>
      </c>
      <c r="TSA67" s="139">
        <f>SUM(TRY67:TRZ67)</f>
        <v>8875</v>
      </c>
      <c r="TSB67" s="132" t="s">
        <v>113</v>
      </c>
      <c r="TSC67" s="133">
        <v>45845</v>
      </c>
      <c r="TSD67" s="128" t="s">
        <v>41</v>
      </c>
      <c r="TSE67" s="207"/>
      <c r="TSF67" s="134" t="s">
        <v>136</v>
      </c>
      <c r="TSG67" s="205"/>
      <c r="TSH67" s="206"/>
      <c r="TSI67" s="128" t="s">
        <v>24</v>
      </c>
      <c r="TSJ67" s="129">
        <v>8150</v>
      </c>
      <c r="TSK67" s="137">
        <v>85</v>
      </c>
      <c r="TSL67" s="138">
        <v>215</v>
      </c>
      <c r="TSM67" s="138">
        <v>75</v>
      </c>
      <c r="TSN67" s="137">
        <v>150</v>
      </c>
      <c r="TSO67" s="139">
        <f>SUM(TSJ67:TSN67)</f>
        <v>8675</v>
      </c>
      <c r="TSP67" s="137">
        <v>200</v>
      </c>
      <c r="TSQ67" s="139">
        <f>SUM(TSO67:TSP67)</f>
        <v>8875</v>
      </c>
      <c r="TSR67" s="132" t="s">
        <v>113</v>
      </c>
      <c r="TSS67" s="133">
        <v>45845</v>
      </c>
      <c r="TST67" s="128" t="s">
        <v>41</v>
      </c>
      <c r="TSU67" s="207"/>
      <c r="TSV67" s="134" t="s">
        <v>136</v>
      </c>
      <c r="TSW67" s="205"/>
      <c r="TSX67" s="206"/>
      <c r="TSY67" s="128" t="s">
        <v>24</v>
      </c>
      <c r="TSZ67" s="129">
        <v>8150</v>
      </c>
      <c r="TTA67" s="137">
        <v>85</v>
      </c>
      <c r="TTB67" s="138">
        <v>215</v>
      </c>
      <c r="TTC67" s="138">
        <v>75</v>
      </c>
      <c r="TTD67" s="137">
        <v>150</v>
      </c>
      <c r="TTE67" s="139">
        <f>SUM(TSZ67:TTD67)</f>
        <v>8675</v>
      </c>
      <c r="TTF67" s="137">
        <v>200</v>
      </c>
      <c r="TTG67" s="139">
        <f>SUM(TTE67:TTF67)</f>
        <v>8875</v>
      </c>
      <c r="TTH67" s="132" t="s">
        <v>113</v>
      </c>
      <c r="TTI67" s="133">
        <v>45845</v>
      </c>
      <c r="TTJ67" s="128" t="s">
        <v>41</v>
      </c>
      <c r="TTK67" s="207"/>
      <c r="TTL67" s="134" t="s">
        <v>136</v>
      </c>
      <c r="TTM67" s="205"/>
      <c r="TTN67" s="206"/>
      <c r="TTO67" s="128" t="s">
        <v>24</v>
      </c>
      <c r="TTP67" s="129">
        <v>8150</v>
      </c>
      <c r="TTQ67" s="137">
        <v>85</v>
      </c>
      <c r="TTR67" s="138">
        <v>215</v>
      </c>
      <c r="TTS67" s="138">
        <v>75</v>
      </c>
      <c r="TTT67" s="137">
        <v>150</v>
      </c>
      <c r="TTU67" s="139">
        <f>SUM(TTP67:TTT67)</f>
        <v>8675</v>
      </c>
      <c r="TTV67" s="137">
        <v>200</v>
      </c>
      <c r="TTW67" s="139">
        <f>SUM(TTU67:TTV67)</f>
        <v>8875</v>
      </c>
      <c r="TTX67" s="132" t="s">
        <v>113</v>
      </c>
      <c r="TTY67" s="133">
        <v>45845</v>
      </c>
      <c r="TTZ67" s="128" t="s">
        <v>41</v>
      </c>
      <c r="TUA67" s="207"/>
      <c r="TUB67" s="134" t="s">
        <v>136</v>
      </c>
      <c r="TUC67" s="205"/>
      <c r="TUD67" s="206"/>
      <c r="TUE67" s="128" t="s">
        <v>24</v>
      </c>
      <c r="TUF67" s="129">
        <v>8150</v>
      </c>
      <c r="TUG67" s="137">
        <v>85</v>
      </c>
      <c r="TUH67" s="138">
        <v>215</v>
      </c>
      <c r="TUI67" s="138">
        <v>75</v>
      </c>
      <c r="TUJ67" s="137">
        <v>150</v>
      </c>
      <c r="TUK67" s="139">
        <f>SUM(TUF67:TUJ67)</f>
        <v>8675</v>
      </c>
      <c r="TUL67" s="137">
        <v>200</v>
      </c>
      <c r="TUM67" s="139">
        <f>SUM(TUK67:TUL67)</f>
        <v>8875</v>
      </c>
      <c r="TUN67" s="132" t="s">
        <v>113</v>
      </c>
      <c r="TUO67" s="133">
        <v>45845</v>
      </c>
      <c r="TUP67" s="128" t="s">
        <v>41</v>
      </c>
      <c r="TUQ67" s="207"/>
      <c r="TUR67" s="134" t="s">
        <v>136</v>
      </c>
      <c r="TUS67" s="205"/>
      <c r="TUT67" s="206"/>
      <c r="TUU67" s="128" t="s">
        <v>24</v>
      </c>
      <c r="TUV67" s="129">
        <v>8150</v>
      </c>
      <c r="TUW67" s="137">
        <v>85</v>
      </c>
      <c r="TUX67" s="138">
        <v>215</v>
      </c>
      <c r="TUY67" s="138">
        <v>75</v>
      </c>
      <c r="TUZ67" s="137">
        <v>150</v>
      </c>
      <c r="TVA67" s="139">
        <f>SUM(TUV67:TUZ67)</f>
        <v>8675</v>
      </c>
      <c r="TVB67" s="137">
        <v>200</v>
      </c>
      <c r="TVC67" s="139">
        <f>SUM(TVA67:TVB67)</f>
        <v>8875</v>
      </c>
      <c r="TVD67" s="132" t="s">
        <v>113</v>
      </c>
      <c r="TVE67" s="133">
        <v>45845</v>
      </c>
      <c r="TVF67" s="128" t="s">
        <v>41</v>
      </c>
      <c r="TVG67" s="207"/>
      <c r="TVH67" s="134" t="s">
        <v>136</v>
      </c>
      <c r="TVI67" s="205"/>
      <c r="TVJ67" s="206"/>
      <c r="TVK67" s="128" t="s">
        <v>24</v>
      </c>
      <c r="TVL67" s="129">
        <v>8150</v>
      </c>
      <c r="TVM67" s="137">
        <v>85</v>
      </c>
      <c r="TVN67" s="138">
        <v>215</v>
      </c>
      <c r="TVO67" s="138">
        <v>75</v>
      </c>
      <c r="TVP67" s="137">
        <v>150</v>
      </c>
      <c r="TVQ67" s="139">
        <f>SUM(TVL67:TVP67)</f>
        <v>8675</v>
      </c>
      <c r="TVR67" s="137">
        <v>200</v>
      </c>
      <c r="TVS67" s="139">
        <f>SUM(TVQ67:TVR67)</f>
        <v>8875</v>
      </c>
      <c r="TVT67" s="132" t="s">
        <v>113</v>
      </c>
      <c r="TVU67" s="133">
        <v>45845</v>
      </c>
      <c r="TVV67" s="128" t="s">
        <v>41</v>
      </c>
      <c r="TVW67" s="207"/>
      <c r="TVX67" s="134" t="s">
        <v>136</v>
      </c>
      <c r="TVY67" s="205"/>
      <c r="TVZ67" s="206"/>
      <c r="TWA67" s="128" t="s">
        <v>24</v>
      </c>
      <c r="TWB67" s="129">
        <v>8150</v>
      </c>
      <c r="TWC67" s="137">
        <v>85</v>
      </c>
      <c r="TWD67" s="138">
        <v>215</v>
      </c>
      <c r="TWE67" s="138">
        <v>75</v>
      </c>
      <c r="TWF67" s="137">
        <v>150</v>
      </c>
      <c r="TWG67" s="139">
        <f>SUM(TWB67:TWF67)</f>
        <v>8675</v>
      </c>
      <c r="TWH67" s="137">
        <v>200</v>
      </c>
      <c r="TWI67" s="139">
        <f>SUM(TWG67:TWH67)</f>
        <v>8875</v>
      </c>
      <c r="TWJ67" s="132" t="s">
        <v>113</v>
      </c>
      <c r="TWK67" s="133">
        <v>45845</v>
      </c>
      <c r="TWL67" s="128" t="s">
        <v>41</v>
      </c>
      <c r="TWM67" s="207"/>
      <c r="TWN67" s="134" t="s">
        <v>136</v>
      </c>
      <c r="TWO67" s="205"/>
      <c r="TWP67" s="206"/>
      <c r="TWQ67" s="128" t="s">
        <v>24</v>
      </c>
      <c r="TWR67" s="129">
        <v>8150</v>
      </c>
      <c r="TWS67" s="137">
        <v>85</v>
      </c>
      <c r="TWT67" s="138">
        <v>215</v>
      </c>
      <c r="TWU67" s="138">
        <v>75</v>
      </c>
      <c r="TWV67" s="137">
        <v>150</v>
      </c>
      <c r="TWW67" s="139">
        <f>SUM(TWR67:TWV67)</f>
        <v>8675</v>
      </c>
      <c r="TWX67" s="137">
        <v>200</v>
      </c>
      <c r="TWY67" s="139">
        <f>SUM(TWW67:TWX67)</f>
        <v>8875</v>
      </c>
      <c r="TWZ67" s="132" t="s">
        <v>113</v>
      </c>
      <c r="TXA67" s="133">
        <v>45845</v>
      </c>
      <c r="TXB67" s="128" t="s">
        <v>41</v>
      </c>
      <c r="TXC67" s="207"/>
      <c r="TXD67" s="134" t="s">
        <v>136</v>
      </c>
      <c r="TXE67" s="205"/>
      <c r="TXF67" s="206"/>
      <c r="TXG67" s="128" t="s">
        <v>24</v>
      </c>
      <c r="TXH67" s="129">
        <v>8150</v>
      </c>
      <c r="TXI67" s="137">
        <v>85</v>
      </c>
      <c r="TXJ67" s="138">
        <v>215</v>
      </c>
      <c r="TXK67" s="138">
        <v>75</v>
      </c>
      <c r="TXL67" s="137">
        <v>150</v>
      </c>
      <c r="TXM67" s="139">
        <f>SUM(TXH67:TXL67)</f>
        <v>8675</v>
      </c>
      <c r="TXN67" s="137">
        <v>200</v>
      </c>
      <c r="TXO67" s="139">
        <f>SUM(TXM67:TXN67)</f>
        <v>8875</v>
      </c>
      <c r="TXP67" s="132" t="s">
        <v>113</v>
      </c>
      <c r="TXQ67" s="133">
        <v>45845</v>
      </c>
      <c r="TXR67" s="128" t="s">
        <v>41</v>
      </c>
      <c r="TXS67" s="207"/>
      <c r="TXT67" s="134" t="s">
        <v>136</v>
      </c>
      <c r="TXU67" s="205"/>
      <c r="TXV67" s="206"/>
      <c r="TXW67" s="128" t="s">
        <v>24</v>
      </c>
      <c r="TXX67" s="129">
        <v>8150</v>
      </c>
      <c r="TXY67" s="137">
        <v>85</v>
      </c>
      <c r="TXZ67" s="138">
        <v>215</v>
      </c>
      <c r="TYA67" s="138">
        <v>75</v>
      </c>
      <c r="TYB67" s="137">
        <v>150</v>
      </c>
      <c r="TYC67" s="139">
        <f>SUM(TXX67:TYB67)</f>
        <v>8675</v>
      </c>
      <c r="TYD67" s="137">
        <v>200</v>
      </c>
      <c r="TYE67" s="139">
        <f>SUM(TYC67:TYD67)</f>
        <v>8875</v>
      </c>
      <c r="TYF67" s="132" t="s">
        <v>113</v>
      </c>
      <c r="TYG67" s="133">
        <v>45845</v>
      </c>
      <c r="TYH67" s="128" t="s">
        <v>41</v>
      </c>
      <c r="TYI67" s="207"/>
      <c r="TYJ67" s="134" t="s">
        <v>136</v>
      </c>
      <c r="TYK67" s="205"/>
      <c r="TYL67" s="206"/>
      <c r="TYM67" s="128" t="s">
        <v>24</v>
      </c>
      <c r="TYN67" s="129">
        <v>8150</v>
      </c>
      <c r="TYO67" s="137">
        <v>85</v>
      </c>
      <c r="TYP67" s="138">
        <v>215</v>
      </c>
      <c r="TYQ67" s="138">
        <v>75</v>
      </c>
      <c r="TYR67" s="137">
        <v>150</v>
      </c>
      <c r="TYS67" s="139">
        <f>SUM(TYN67:TYR67)</f>
        <v>8675</v>
      </c>
      <c r="TYT67" s="137">
        <v>200</v>
      </c>
      <c r="TYU67" s="139">
        <f>SUM(TYS67:TYT67)</f>
        <v>8875</v>
      </c>
      <c r="TYV67" s="132" t="s">
        <v>113</v>
      </c>
      <c r="TYW67" s="133">
        <v>45845</v>
      </c>
      <c r="TYX67" s="128" t="s">
        <v>41</v>
      </c>
      <c r="TYY67" s="207"/>
      <c r="TYZ67" s="134" t="s">
        <v>136</v>
      </c>
      <c r="TZA67" s="205"/>
      <c r="TZB67" s="206"/>
      <c r="TZC67" s="128" t="s">
        <v>24</v>
      </c>
      <c r="TZD67" s="129">
        <v>8150</v>
      </c>
      <c r="TZE67" s="137">
        <v>85</v>
      </c>
      <c r="TZF67" s="138">
        <v>215</v>
      </c>
      <c r="TZG67" s="138">
        <v>75</v>
      </c>
      <c r="TZH67" s="137">
        <v>150</v>
      </c>
      <c r="TZI67" s="139">
        <f>SUM(TZD67:TZH67)</f>
        <v>8675</v>
      </c>
      <c r="TZJ67" s="137">
        <v>200</v>
      </c>
      <c r="TZK67" s="139">
        <f>SUM(TZI67:TZJ67)</f>
        <v>8875</v>
      </c>
      <c r="TZL67" s="132" t="s">
        <v>113</v>
      </c>
      <c r="TZM67" s="133">
        <v>45845</v>
      </c>
      <c r="TZN67" s="128" t="s">
        <v>41</v>
      </c>
      <c r="TZO67" s="207"/>
      <c r="TZP67" s="134" t="s">
        <v>136</v>
      </c>
      <c r="TZQ67" s="205"/>
      <c r="TZR67" s="206"/>
      <c r="TZS67" s="128" t="s">
        <v>24</v>
      </c>
      <c r="TZT67" s="129">
        <v>8150</v>
      </c>
      <c r="TZU67" s="137">
        <v>85</v>
      </c>
      <c r="TZV67" s="138">
        <v>215</v>
      </c>
      <c r="TZW67" s="138">
        <v>75</v>
      </c>
      <c r="TZX67" s="137">
        <v>150</v>
      </c>
      <c r="TZY67" s="139">
        <f>SUM(TZT67:TZX67)</f>
        <v>8675</v>
      </c>
      <c r="TZZ67" s="137">
        <v>200</v>
      </c>
      <c r="UAA67" s="139">
        <f>SUM(TZY67:TZZ67)</f>
        <v>8875</v>
      </c>
      <c r="UAB67" s="132" t="s">
        <v>113</v>
      </c>
      <c r="UAC67" s="133">
        <v>45845</v>
      </c>
      <c r="UAD67" s="128" t="s">
        <v>41</v>
      </c>
      <c r="UAE67" s="207"/>
      <c r="UAF67" s="134" t="s">
        <v>136</v>
      </c>
      <c r="UAG67" s="205"/>
      <c r="UAH67" s="206"/>
      <c r="UAI67" s="128" t="s">
        <v>24</v>
      </c>
      <c r="UAJ67" s="129">
        <v>8150</v>
      </c>
      <c r="UAK67" s="137">
        <v>85</v>
      </c>
      <c r="UAL67" s="138">
        <v>215</v>
      </c>
      <c r="UAM67" s="138">
        <v>75</v>
      </c>
      <c r="UAN67" s="137">
        <v>150</v>
      </c>
      <c r="UAO67" s="139">
        <f>SUM(UAJ67:UAN67)</f>
        <v>8675</v>
      </c>
      <c r="UAP67" s="137">
        <v>200</v>
      </c>
      <c r="UAQ67" s="139">
        <f>SUM(UAO67:UAP67)</f>
        <v>8875</v>
      </c>
      <c r="UAR67" s="132" t="s">
        <v>113</v>
      </c>
      <c r="UAS67" s="133">
        <v>45845</v>
      </c>
      <c r="UAT67" s="128" t="s">
        <v>41</v>
      </c>
      <c r="UAU67" s="207"/>
      <c r="UAV67" s="134" t="s">
        <v>136</v>
      </c>
      <c r="UAW67" s="205"/>
      <c r="UAX67" s="206"/>
      <c r="UAY67" s="128" t="s">
        <v>24</v>
      </c>
      <c r="UAZ67" s="129">
        <v>8150</v>
      </c>
      <c r="UBA67" s="137">
        <v>85</v>
      </c>
      <c r="UBB67" s="138">
        <v>215</v>
      </c>
      <c r="UBC67" s="138">
        <v>75</v>
      </c>
      <c r="UBD67" s="137">
        <v>150</v>
      </c>
      <c r="UBE67" s="139">
        <f>SUM(UAZ67:UBD67)</f>
        <v>8675</v>
      </c>
      <c r="UBF67" s="137">
        <v>200</v>
      </c>
      <c r="UBG67" s="139">
        <f>SUM(UBE67:UBF67)</f>
        <v>8875</v>
      </c>
      <c r="UBH67" s="132" t="s">
        <v>113</v>
      </c>
      <c r="UBI67" s="133">
        <v>45845</v>
      </c>
      <c r="UBJ67" s="128" t="s">
        <v>41</v>
      </c>
      <c r="UBK67" s="207"/>
      <c r="UBL67" s="134" t="s">
        <v>136</v>
      </c>
      <c r="UBM67" s="205"/>
      <c r="UBN67" s="206"/>
      <c r="UBO67" s="128" t="s">
        <v>24</v>
      </c>
      <c r="UBP67" s="129">
        <v>8150</v>
      </c>
      <c r="UBQ67" s="137">
        <v>85</v>
      </c>
      <c r="UBR67" s="138">
        <v>215</v>
      </c>
      <c r="UBS67" s="138">
        <v>75</v>
      </c>
      <c r="UBT67" s="137">
        <v>150</v>
      </c>
      <c r="UBU67" s="139">
        <f>SUM(UBP67:UBT67)</f>
        <v>8675</v>
      </c>
      <c r="UBV67" s="137">
        <v>200</v>
      </c>
      <c r="UBW67" s="139">
        <f>SUM(UBU67:UBV67)</f>
        <v>8875</v>
      </c>
      <c r="UBX67" s="132" t="s">
        <v>113</v>
      </c>
      <c r="UBY67" s="133">
        <v>45845</v>
      </c>
      <c r="UBZ67" s="128" t="s">
        <v>41</v>
      </c>
      <c r="UCA67" s="207"/>
      <c r="UCB67" s="134" t="s">
        <v>136</v>
      </c>
      <c r="UCC67" s="205"/>
      <c r="UCD67" s="206"/>
      <c r="UCE67" s="128" t="s">
        <v>24</v>
      </c>
      <c r="UCF67" s="129">
        <v>8150</v>
      </c>
      <c r="UCG67" s="137">
        <v>85</v>
      </c>
      <c r="UCH67" s="138">
        <v>215</v>
      </c>
      <c r="UCI67" s="138">
        <v>75</v>
      </c>
      <c r="UCJ67" s="137">
        <v>150</v>
      </c>
      <c r="UCK67" s="139">
        <f>SUM(UCF67:UCJ67)</f>
        <v>8675</v>
      </c>
      <c r="UCL67" s="137">
        <v>200</v>
      </c>
      <c r="UCM67" s="139">
        <f>SUM(UCK67:UCL67)</f>
        <v>8875</v>
      </c>
      <c r="UCN67" s="132" t="s">
        <v>113</v>
      </c>
      <c r="UCO67" s="133">
        <v>45845</v>
      </c>
      <c r="UCP67" s="128" t="s">
        <v>41</v>
      </c>
      <c r="UCQ67" s="207"/>
      <c r="UCR67" s="134" t="s">
        <v>136</v>
      </c>
      <c r="UCS67" s="205"/>
      <c r="UCT67" s="206"/>
      <c r="UCU67" s="128" t="s">
        <v>24</v>
      </c>
      <c r="UCV67" s="129">
        <v>8150</v>
      </c>
      <c r="UCW67" s="137">
        <v>85</v>
      </c>
      <c r="UCX67" s="138">
        <v>215</v>
      </c>
      <c r="UCY67" s="138">
        <v>75</v>
      </c>
      <c r="UCZ67" s="137">
        <v>150</v>
      </c>
      <c r="UDA67" s="139">
        <f>SUM(UCV67:UCZ67)</f>
        <v>8675</v>
      </c>
      <c r="UDB67" s="137">
        <v>200</v>
      </c>
      <c r="UDC67" s="139">
        <f>SUM(UDA67:UDB67)</f>
        <v>8875</v>
      </c>
      <c r="UDD67" s="132" t="s">
        <v>113</v>
      </c>
      <c r="UDE67" s="133">
        <v>45845</v>
      </c>
      <c r="UDF67" s="128" t="s">
        <v>41</v>
      </c>
      <c r="UDG67" s="207"/>
      <c r="UDH67" s="134" t="s">
        <v>136</v>
      </c>
      <c r="UDI67" s="205"/>
      <c r="UDJ67" s="206"/>
      <c r="UDK67" s="128" t="s">
        <v>24</v>
      </c>
      <c r="UDL67" s="129">
        <v>8150</v>
      </c>
      <c r="UDM67" s="137">
        <v>85</v>
      </c>
      <c r="UDN67" s="138">
        <v>215</v>
      </c>
      <c r="UDO67" s="138">
        <v>75</v>
      </c>
      <c r="UDP67" s="137">
        <v>150</v>
      </c>
      <c r="UDQ67" s="139">
        <f>SUM(UDL67:UDP67)</f>
        <v>8675</v>
      </c>
      <c r="UDR67" s="137">
        <v>200</v>
      </c>
      <c r="UDS67" s="139">
        <f>SUM(UDQ67:UDR67)</f>
        <v>8875</v>
      </c>
      <c r="UDT67" s="132" t="s">
        <v>113</v>
      </c>
      <c r="UDU67" s="133">
        <v>45845</v>
      </c>
      <c r="UDV67" s="128" t="s">
        <v>41</v>
      </c>
      <c r="UDW67" s="207"/>
      <c r="UDX67" s="134" t="s">
        <v>136</v>
      </c>
      <c r="UDY67" s="205"/>
      <c r="UDZ67" s="206"/>
      <c r="UEA67" s="128" t="s">
        <v>24</v>
      </c>
      <c r="UEB67" s="129">
        <v>8150</v>
      </c>
      <c r="UEC67" s="137">
        <v>85</v>
      </c>
      <c r="UED67" s="138">
        <v>215</v>
      </c>
      <c r="UEE67" s="138">
        <v>75</v>
      </c>
      <c r="UEF67" s="137">
        <v>150</v>
      </c>
      <c r="UEG67" s="139">
        <f>SUM(UEB67:UEF67)</f>
        <v>8675</v>
      </c>
      <c r="UEH67" s="137">
        <v>200</v>
      </c>
      <c r="UEI67" s="139">
        <f>SUM(UEG67:UEH67)</f>
        <v>8875</v>
      </c>
      <c r="UEJ67" s="132" t="s">
        <v>113</v>
      </c>
      <c r="UEK67" s="133">
        <v>45845</v>
      </c>
      <c r="UEL67" s="128" t="s">
        <v>41</v>
      </c>
      <c r="UEM67" s="207"/>
      <c r="UEN67" s="134" t="s">
        <v>136</v>
      </c>
      <c r="UEO67" s="205"/>
      <c r="UEP67" s="206"/>
      <c r="UEQ67" s="128" t="s">
        <v>24</v>
      </c>
      <c r="UER67" s="129">
        <v>8150</v>
      </c>
      <c r="UES67" s="137">
        <v>85</v>
      </c>
      <c r="UET67" s="138">
        <v>215</v>
      </c>
      <c r="UEU67" s="138">
        <v>75</v>
      </c>
      <c r="UEV67" s="137">
        <v>150</v>
      </c>
      <c r="UEW67" s="139">
        <f>SUM(UER67:UEV67)</f>
        <v>8675</v>
      </c>
      <c r="UEX67" s="137">
        <v>200</v>
      </c>
      <c r="UEY67" s="139">
        <f>SUM(UEW67:UEX67)</f>
        <v>8875</v>
      </c>
      <c r="UEZ67" s="132" t="s">
        <v>113</v>
      </c>
      <c r="UFA67" s="133">
        <v>45845</v>
      </c>
      <c r="UFB67" s="128" t="s">
        <v>41</v>
      </c>
      <c r="UFC67" s="207"/>
      <c r="UFD67" s="134" t="s">
        <v>136</v>
      </c>
      <c r="UFE67" s="205"/>
      <c r="UFF67" s="206"/>
      <c r="UFG67" s="128" t="s">
        <v>24</v>
      </c>
      <c r="UFH67" s="129">
        <v>8150</v>
      </c>
      <c r="UFI67" s="137">
        <v>85</v>
      </c>
      <c r="UFJ67" s="138">
        <v>215</v>
      </c>
      <c r="UFK67" s="138">
        <v>75</v>
      </c>
      <c r="UFL67" s="137">
        <v>150</v>
      </c>
      <c r="UFM67" s="139">
        <f>SUM(UFH67:UFL67)</f>
        <v>8675</v>
      </c>
      <c r="UFN67" s="137">
        <v>200</v>
      </c>
      <c r="UFO67" s="139">
        <f>SUM(UFM67:UFN67)</f>
        <v>8875</v>
      </c>
      <c r="UFP67" s="132" t="s">
        <v>113</v>
      </c>
      <c r="UFQ67" s="133">
        <v>45845</v>
      </c>
      <c r="UFR67" s="128" t="s">
        <v>41</v>
      </c>
      <c r="UFS67" s="207"/>
      <c r="UFT67" s="134" t="s">
        <v>136</v>
      </c>
      <c r="UFU67" s="205"/>
      <c r="UFV67" s="206"/>
      <c r="UFW67" s="128" t="s">
        <v>24</v>
      </c>
      <c r="UFX67" s="129">
        <v>8150</v>
      </c>
      <c r="UFY67" s="137">
        <v>85</v>
      </c>
      <c r="UFZ67" s="138">
        <v>215</v>
      </c>
      <c r="UGA67" s="138">
        <v>75</v>
      </c>
      <c r="UGB67" s="137">
        <v>150</v>
      </c>
      <c r="UGC67" s="139">
        <f>SUM(UFX67:UGB67)</f>
        <v>8675</v>
      </c>
      <c r="UGD67" s="137">
        <v>200</v>
      </c>
      <c r="UGE67" s="139">
        <f>SUM(UGC67:UGD67)</f>
        <v>8875</v>
      </c>
      <c r="UGF67" s="132" t="s">
        <v>113</v>
      </c>
      <c r="UGG67" s="133">
        <v>45845</v>
      </c>
      <c r="UGH67" s="128" t="s">
        <v>41</v>
      </c>
      <c r="UGI67" s="207"/>
      <c r="UGJ67" s="134" t="s">
        <v>136</v>
      </c>
      <c r="UGK67" s="205"/>
      <c r="UGL67" s="206"/>
      <c r="UGM67" s="128" t="s">
        <v>24</v>
      </c>
      <c r="UGN67" s="129">
        <v>8150</v>
      </c>
      <c r="UGO67" s="137">
        <v>85</v>
      </c>
      <c r="UGP67" s="138">
        <v>215</v>
      </c>
      <c r="UGQ67" s="138">
        <v>75</v>
      </c>
      <c r="UGR67" s="137">
        <v>150</v>
      </c>
      <c r="UGS67" s="139">
        <f>SUM(UGN67:UGR67)</f>
        <v>8675</v>
      </c>
      <c r="UGT67" s="137">
        <v>200</v>
      </c>
      <c r="UGU67" s="139">
        <f>SUM(UGS67:UGT67)</f>
        <v>8875</v>
      </c>
      <c r="UGV67" s="132" t="s">
        <v>113</v>
      </c>
      <c r="UGW67" s="133">
        <v>45845</v>
      </c>
      <c r="UGX67" s="128" t="s">
        <v>41</v>
      </c>
      <c r="UGY67" s="207"/>
      <c r="UGZ67" s="134" t="s">
        <v>136</v>
      </c>
      <c r="UHA67" s="205"/>
      <c r="UHB67" s="206"/>
      <c r="UHC67" s="128" t="s">
        <v>24</v>
      </c>
      <c r="UHD67" s="129">
        <v>8150</v>
      </c>
      <c r="UHE67" s="137">
        <v>85</v>
      </c>
      <c r="UHF67" s="138">
        <v>215</v>
      </c>
      <c r="UHG67" s="138">
        <v>75</v>
      </c>
      <c r="UHH67" s="137">
        <v>150</v>
      </c>
      <c r="UHI67" s="139">
        <f>SUM(UHD67:UHH67)</f>
        <v>8675</v>
      </c>
      <c r="UHJ67" s="137">
        <v>200</v>
      </c>
      <c r="UHK67" s="139">
        <f>SUM(UHI67:UHJ67)</f>
        <v>8875</v>
      </c>
      <c r="UHL67" s="132" t="s">
        <v>113</v>
      </c>
      <c r="UHM67" s="133">
        <v>45845</v>
      </c>
      <c r="UHN67" s="128" t="s">
        <v>41</v>
      </c>
      <c r="UHO67" s="207"/>
      <c r="UHP67" s="134" t="s">
        <v>136</v>
      </c>
      <c r="UHQ67" s="205"/>
      <c r="UHR67" s="206"/>
      <c r="UHS67" s="128" t="s">
        <v>24</v>
      </c>
      <c r="UHT67" s="129">
        <v>8150</v>
      </c>
      <c r="UHU67" s="137">
        <v>85</v>
      </c>
      <c r="UHV67" s="138">
        <v>215</v>
      </c>
      <c r="UHW67" s="138">
        <v>75</v>
      </c>
      <c r="UHX67" s="137">
        <v>150</v>
      </c>
      <c r="UHY67" s="139">
        <f>SUM(UHT67:UHX67)</f>
        <v>8675</v>
      </c>
      <c r="UHZ67" s="137">
        <v>200</v>
      </c>
      <c r="UIA67" s="139">
        <f>SUM(UHY67:UHZ67)</f>
        <v>8875</v>
      </c>
      <c r="UIB67" s="132" t="s">
        <v>113</v>
      </c>
      <c r="UIC67" s="133">
        <v>45845</v>
      </c>
      <c r="UID67" s="128" t="s">
        <v>41</v>
      </c>
      <c r="UIE67" s="207"/>
      <c r="UIF67" s="134" t="s">
        <v>136</v>
      </c>
      <c r="UIG67" s="205"/>
      <c r="UIH67" s="206"/>
      <c r="UII67" s="128" t="s">
        <v>24</v>
      </c>
      <c r="UIJ67" s="129">
        <v>8150</v>
      </c>
      <c r="UIK67" s="137">
        <v>85</v>
      </c>
      <c r="UIL67" s="138">
        <v>215</v>
      </c>
      <c r="UIM67" s="138">
        <v>75</v>
      </c>
      <c r="UIN67" s="137">
        <v>150</v>
      </c>
      <c r="UIO67" s="139">
        <f>SUM(UIJ67:UIN67)</f>
        <v>8675</v>
      </c>
      <c r="UIP67" s="137">
        <v>200</v>
      </c>
      <c r="UIQ67" s="139">
        <f>SUM(UIO67:UIP67)</f>
        <v>8875</v>
      </c>
      <c r="UIR67" s="132" t="s">
        <v>113</v>
      </c>
      <c r="UIS67" s="133">
        <v>45845</v>
      </c>
      <c r="UIT67" s="128" t="s">
        <v>41</v>
      </c>
      <c r="UIU67" s="207"/>
      <c r="UIV67" s="134" t="s">
        <v>136</v>
      </c>
      <c r="UIW67" s="205"/>
      <c r="UIX67" s="206"/>
      <c r="UIY67" s="128" t="s">
        <v>24</v>
      </c>
      <c r="UIZ67" s="129">
        <v>8150</v>
      </c>
      <c r="UJA67" s="137">
        <v>85</v>
      </c>
      <c r="UJB67" s="138">
        <v>215</v>
      </c>
      <c r="UJC67" s="138">
        <v>75</v>
      </c>
      <c r="UJD67" s="137">
        <v>150</v>
      </c>
      <c r="UJE67" s="139">
        <f>SUM(UIZ67:UJD67)</f>
        <v>8675</v>
      </c>
      <c r="UJF67" s="137">
        <v>200</v>
      </c>
      <c r="UJG67" s="139">
        <f>SUM(UJE67:UJF67)</f>
        <v>8875</v>
      </c>
      <c r="UJH67" s="132" t="s">
        <v>113</v>
      </c>
      <c r="UJI67" s="133">
        <v>45845</v>
      </c>
      <c r="UJJ67" s="128" t="s">
        <v>41</v>
      </c>
      <c r="UJK67" s="207"/>
      <c r="UJL67" s="134" t="s">
        <v>136</v>
      </c>
      <c r="UJM67" s="205"/>
      <c r="UJN67" s="206"/>
      <c r="UJO67" s="128" t="s">
        <v>24</v>
      </c>
      <c r="UJP67" s="129">
        <v>8150</v>
      </c>
      <c r="UJQ67" s="137">
        <v>85</v>
      </c>
      <c r="UJR67" s="138">
        <v>215</v>
      </c>
      <c r="UJS67" s="138">
        <v>75</v>
      </c>
      <c r="UJT67" s="137">
        <v>150</v>
      </c>
      <c r="UJU67" s="139">
        <f>SUM(UJP67:UJT67)</f>
        <v>8675</v>
      </c>
      <c r="UJV67" s="137">
        <v>200</v>
      </c>
      <c r="UJW67" s="139">
        <f>SUM(UJU67:UJV67)</f>
        <v>8875</v>
      </c>
      <c r="UJX67" s="132" t="s">
        <v>113</v>
      </c>
      <c r="UJY67" s="133">
        <v>45845</v>
      </c>
      <c r="UJZ67" s="128" t="s">
        <v>41</v>
      </c>
      <c r="UKA67" s="207"/>
      <c r="UKB67" s="134" t="s">
        <v>136</v>
      </c>
      <c r="UKC67" s="205"/>
      <c r="UKD67" s="206"/>
      <c r="UKE67" s="128" t="s">
        <v>24</v>
      </c>
      <c r="UKF67" s="129">
        <v>8150</v>
      </c>
      <c r="UKG67" s="137">
        <v>85</v>
      </c>
      <c r="UKH67" s="138">
        <v>215</v>
      </c>
      <c r="UKI67" s="138">
        <v>75</v>
      </c>
      <c r="UKJ67" s="137">
        <v>150</v>
      </c>
      <c r="UKK67" s="139">
        <f>SUM(UKF67:UKJ67)</f>
        <v>8675</v>
      </c>
      <c r="UKL67" s="137">
        <v>200</v>
      </c>
      <c r="UKM67" s="139">
        <f>SUM(UKK67:UKL67)</f>
        <v>8875</v>
      </c>
      <c r="UKN67" s="132" t="s">
        <v>113</v>
      </c>
      <c r="UKO67" s="133">
        <v>45845</v>
      </c>
      <c r="UKP67" s="128" t="s">
        <v>41</v>
      </c>
      <c r="UKQ67" s="207"/>
      <c r="UKR67" s="134" t="s">
        <v>136</v>
      </c>
      <c r="UKS67" s="205"/>
      <c r="UKT67" s="206"/>
      <c r="UKU67" s="128" t="s">
        <v>24</v>
      </c>
      <c r="UKV67" s="129">
        <v>8150</v>
      </c>
      <c r="UKW67" s="137">
        <v>85</v>
      </c>
      <c r="UKX67" s="138">
        <v>215</v>
      </c>
      <c r="UKY67" s="138">
        <v>75</v>
      </c>
      <c r="UKZ67" s="137">
        <v>150</v>
      </c>
      <c r="ULA67" s="139">
        <f>SUM(UKV67:UKZ67)</f>
        <v>8675</v>
      </c>
      <c r="ULB67" s="137">
        <v>200</v>
      </c>
      <c r="ULC67" s="139">
        <f>SUM(ULA67:ULB67)</f>
        <v>8875</v>
      </c>
      <c r="ULD67" s="132" t="s">
        <v>113</v>
      </c>
      <c r="ULE67" s="133">
        <v>45845</v>
      </c>
      <c r="ULF67" s="128" t="s">
        <v>41</v>
      </c>
      <c r="ULG67" s="207"/>
      <c r="ULH67" s="134" t="s">
        <v>136</v>
      </c>
      <c r="ULI67" s="205"/>
      <c r="ULJ67" s="206"/>
      <c r="ULK67" s="128" t="s">
        <v>24</v>
      </c>
      <c r="ULL67" s="129">
        <v>8150</v>
      </c>
      <c r="ULM67" s="137">
        <v>85</v>
      </c>
      <c r="ULN67" s="138">
        <v>215</v>
      </c>
      <c r="ULO67" s="138">
        <v>75</v>
      </c>
      <c r="ULP67" s="137">
        <v>150</v>
      </c>
      <c r="ULQ67" s="139">
        <f>SUM(ULL67:ULP67)</f>
        <v>8675</v>
      </c>
      <c r="ULR67" s="137">
        <v>200</v>
      </c>
      <c r="ULS67" s="139">
        <f>SUM(ULQ67:ULR67)</f>
        <v>8875</v>
      </c>
      <c r="ULT67" s="132" t="s">
        <v>113</v>
      </c>
      <c r="ULU67" s="133">
        <v>45845</v>
      </c>
      <c r="ULV67" s="128" t="s">
        <v>41</v>
      </c>
      <c r="ULW67" s="207"/>
      <c r="ULX67" s="134" t="s">
        <v>136</v>
      </c>
      <c r="ULY67" s="205"/>
      <c r="ULZ67" s="206"/>
      <c r="UMA67" s="128" t="s">
        <v>24</v>
      </c>
      <c r="UMB67" s="129">
        <v>8150</v>
      </c>
      <c r="UMC67" s="137">
        <v>85</v>
      </c>
      <c r="UMD67" s="138">
        <v>215</v>
      </c>
      <c r="UME67" s="138">
        <v>75</v>
      </c>
      <c r="UMF67" s="137">
        <v>150</v>
      </c>
      <c r="UMG67" s="139">
        <f>SUM(UMB67:UMF67)</f>
        <v>8675</v>
      </c>
      <c r="UMH67" s="137">
        <v>200</v>
      </c>
      <c r="UMI67" s="139">
        <f>SUM(UMG67:UMH67)</f>
        <v>8875</v>
      </c>
      <c r="UMJ67" s="132" t="s">
        <v>113</v>
      </c>
      <c r="UMK67" s="133">
        <v>45845</v>
      </c>
      <c r="UML67" s="128" t="s">
        <v>41</v>
      </c>
      <c r="UMM67" s="207"/>
      <c r="UMN67" s="134" t="s">
        <v>136</v>
      </c>
      <c r="UMO67" s="205"/>
      <c r="UMP67" s="206"/>
      <c r="UMQ67" s="128" t="s">
        <v>24</v>
      </c>
      <c r="UMR67" s="129">
        <v>8150</v>
      </c>
      <c r="UMS67" s="137">
        <v>85</v>
      </c>
      <c r="UMT67" s="138">
        <v>215</v>
      </c>
      <c r="UMU67" s="138">
        <v>75</v>
      </c>
      <c r="UMV67" s="137">
        <v>150</v>
      </c>
      <c r="UMW67" s="139">
        <f>SUM(UMR67:UMV67)</f>
        <v>8675</v>
      </c>
      <c r="UMX67" s="137">
        <v>200</v>
      </c>
      <c r="UMY67" s="139">
        <f>SUM(UMW67:UMX67)</f>
        <v>8875</v>
      </c>
      <c r="UMZ67" s="132" t="s">
        <v>113</v>
      </c>
      <c r="UNA67" s="133">
        <v>45845</v>
      </c>
      <c r="UNB67" s="128" t="s">
        <v>41</v>
      </c>
      <c r="UNC67" s="207"/>
      <c r="UND67" s="134" t="s">
        <v>136</v>
      </c>
      <c r="UNE67" s="205"/>
      <c r="UNF67" s="206"/>
      <c r="UNG67" s="128" t="s">
        <v>24</v>
      </c>
      <c r="UNH67" s="129">
        <v>8150</v>
      </c>
      <c r="UNI67" s="137">
        <v>85</v>
      </c>
      <c r="UNJ67" s="138">
        <v>215</v>
      </c>
      <c r="UNK67" s="138">
        <v>75</v>
      </c>
      <c r="UNL67" s="137">
        <v>150</v>
      </c>
      <c r="UNM67" s="139">
        <f>SUM(UNH67:UNL67)</f>
        <v>8675</v>
      </c>
      <c r="UNN67" s="137">
        <v>200</v>
      </c>
      <c r="UNO67" s="139">
        <f>SUM(UNM67:UNN67)</f>
        <v>8875</v>
      </c>
      <c r="UNP67" s="132" t="s">
        <v>113</v>
      </c>
      <c r="UNQ67" s="133">
        <v>45845</v>
      </c>
      <c r="UNR67" s="128" t="s">
        <v>41</v>
      </c>
      <c r="UNS67" s="207"/>
      <c r="UNT67" s="134" t="s">
        <v>136</v>
      </c>
      <c r="UNU67" s="205"/>
      <c r="UNV67" s="206"/>
      <c r="UNW67" s="128" t="s">
        <v>24</v>
      </c>
      <c r="UNX67" s="129">
        <v>8150</v>
      </c>
      <c r="UNY67" s="137">
        <v>85</v>
      </c>
      <c r="UNZ67" s="138">
        <v>215</v>
      </c>
      <c r="UOA67" s="138">
        <v>75</v>
      </c>
      <c r="UOB67" s="137">
        <v>150</v>
      </c>
      <c r="UOC67" s="139">
        <f>SUM(UNX67:UOB67)</f>
        <v>8675</v>
      </c>
      <c r="UOD67" s="137">
        <v>200</v>
      </c>
      <c r="UOE67" s="139">
        <f>SUM(UOC67:UOD67)</f>
        <v>8875</v>
      </c>
      <c r="UOF67" s="132" t="s">
        <v>113</v>
      </c>
      <c r="UOG67" s="133">
        <v>45845</v>
      </c>
      <c r="UOH67" s="128" t="s">
        <v>41</v>
      </c>
      <c r="UOI67" s="207"/>
      <c r="UOJ67" s="134" t="s">
        <v>136</v>
      </c>
      <c r="UOK67" s="205"/>
      <c r="UOL67" s="206"/>
      <c r="UOM67" s="128" t="s">
        <v>24</v>
      </c>
      <c r="UON67" s="129">
        <v>8150</v>
      </c>
      <c r="UOO67" s="137">
        <v>85</v>
      </c>
      <c r="UOP67" s="138">
        <v>215</v>
      </c>
      <c r="UOQ67" s="138">
        <v>75</v>
      </c>
      <c r="UOR67" s="137">
        <v>150</v>
      </c>
      <c r="UOS67" s="139">
        <f>SUM(UON67:UOR67)</f>
        <v>8675</v>
      </c>
      <c r="UOT67" s="137">
        <v>200</v>
      </c>
      <c r="UOU67" s="139">
        <f>SUM(UOS67:UOT67)</f>
        <v>8875</v>
      </c>
      <c r="UOV67" s="132" t="s">
        <v>113</v>
      </c>
      <c r="UOW67" s="133">
        <v>45845</v>
      </c>
      <c r="UOX67" s="128" t="s">
        <v>41</v>
      </c>
      <c r="UOY67" s="207"/>
      <c r="UOZ67" s="134" t="s">
        <v>136</v>
      </c>
      <c r="UPA67" s="205"/>
      <c r="UPB67" s="206"/>
      <c r="UPC67" s="128" t="s">
        <v>24</v>
      </c>
      <c r="UPD67" s="129">
        <v>8150</v>
      </c>
      <c r="UPE67" s="137">
        <v>85</v>
      </c>
      <c r="UPF67" s="138">
        <v>215</v>
      </c>
      <c r="UPG67" s="138">
        <v>75</v>
      </c>
      <c r="UPH67" s="137">
        <v>150</v>
      </c>
      <c r="UPI67" s="139">
        <f>SUM(UPD67:UPH67)</f>
        <v>8675</v>
      </c>
      <c r="UPJ67" s="137">
        <v>200</v>
      </c>
      <c r="UPK67" s="139">
        <f>SUM(UPI67:UPJ67)</f>
        <v>8875</v>
      </c>
      <c r="UPL67" s="132" t="s">
        <v>113</v>
      </c>
      <c r="UPM67" s="133">
        <v>45845</v>
      </c>
      <c r="UPN67" s="128" t="s">
        <v>41</v>
      </c>
      <c r="UPO67" s="207"/>
      <c r="UPP67" s="134" t="s">
        <v>136</v>
      </c>
      <c r="UPQ67" s="205"/>
      <c r="UPR67" s="206"/>
      <c r="UPS67" s="128" t="s">
        <v>24</v>
      </c>
      <c r="UPT67" s="129">
        <v>8150</v>
      </c>
      <c r="UPU67" s="137">
        <v>85</v>
      </c>
      <c r="UPV67" s="138">
        <v>215</v>
      </c>
      <c r="UPW67" s="138">
        <v>75</v>
      </c>
      <c r="UPX67" s="137">
        <v>150</v>
      </c>
      <c r="UPY67" s="139">
        <f>SUM(UPT67:UPX67)</f>
        <v>8675</v>
      </c>
      <c r="UPZ67" s="137">
        <v>200</v>
      </c>
      <c r="UQA67" s="139">
        <f>SUM(UPY67:UPZ67)</f>
        <v>8875</v>
      </c>
      <c r="UQB67" s="132" t="s">
        <v>113</v>
      </c>
      <c r="UQC67" s="133">
        <v>45845</v>
      </c>
      <c r="UQD67" s="128" t="s">
        <v>41</v>
      </c>
      <c r="UQE67" s="207"/>
      <c r="UQF67" s="134" t="s">
        <v>136</v>
      </c>
      <c r="UQG67" s="205"/>
      <c r="UQH67" s="206"/>
      <c r="UQI67" s="128" t="s">
        <v>24</v>
      </c>
      <c r="UQJ67" s="129">
        <v>8150</v>
      </c>
      <c r="UQK67" s="137">
        <v>85</v>
      </c>
      <c r="UQL67" s="138">
        <v>215</v>
      </c>
      <c r="UQM67" s="138">
        <v>75</v>
      </c>
      <c r="UQN67" s="137">
        <v>150</v>
      </c>
      <c r="UQO67" s="139">
        <f>SUM(UQJ67:UQN67)</f>
        <v>8675</v>
      </c>
      <c r="UQP67" s="137">
        <v>200</v>
      </c>
      <c r="UQQ67" s="139">
        <f>SUM(UQO67:UQP67)</f>
        <v>8875</v>
      </c>
      <c r="UQR67" s="132" t="s">
        <v>113</v>
      </c>
      <c r="UQS67" s="133">
        <v>45845</v>
      </c>
      <c r="UQT67" s="128" t="s">
        <v>41</v>
      </c>
      <c r="UQU67" s="207"/>
      <c r="UQV67" s="134" t="s">
        <v>136</v>
      </c>
      <c r="UQW67" s="205"/>
      <c r="UQX67" s="206"/>
      <c r="UQY67" s="128" t="s">
        <v>24</v>
      </c>
      <c r="UQZ67" s="129">
        <v>8150</v>
      </c>
      <c r="URA67" s="137">
        <v>85</v>
      </c>
      <c r="URB67" s="138">
        <v>215</v>
      </c>
      <c r="URC67" s="138">
        <v>75</v>
      </c>
      <c r="URD67" s="137">
        <v>150</v>
      </c>
      <c r="URE67" s="139">
        <f>SUM(UQZ67:URD67)</f>
        <v>8675</v>
      </c>
      <c r="URF67" s="137">
        <v>200</v>
      </c>
      <c r="URG67" s="139">
        <f>SUM(URE67:URF67)</f>
        <v>8875</v>
      </c>
      <c r="URH67" s="132" t="s">
        <v>113</v>
      </c>
      <c r="URI67" s="133">
        <v>45845</v>
      </c>
      <c r="URJ67" s="128" t="s">
        <v>41</v>
      </c>
      <c r="URK67" s="207"/>
      <c r="URL67" s="134" t="s">
        <v>136</v>
      </c>
      <c r="URM67" s="205"/>
      <c r="URN67" s="206"/>
      <c r="URO67" s="128" t="s">
        <v>24</v>
      </c>
      <c r="URP67" s="129">
        <v>8150</v>
      </c>
      <c r="URQ67" s="137">
        <v>85</v>
      </c>
      <c r="URR67" s="138">
        <v>215</v>
      </c>
      <c r="URS67" s="138">
        <v>75</v>
      </c>
      <c r="URT67" s="137">
        <v>150</v>
      </c>
      <c r="URU67" s="139">
        <f>SUM(URP67:URT67)</f>
        <v>8675</v>
      </c>
      <c r="URV67" s="137">
        <v>200</v>
      </c>
      <c r="URW67" s="139">
        <f>SUM(URU67:URV67)</f>
        <v>8875</v>
      </c>
      <c r="URX67" s="132" t="s">
        <v>113</v>
      </c>
      <c r="URY67" s="133">
        <v>45845</v>
      </c>
      <c r="URZ67" s="128" t="s">
        <v>41</v>
      </c>
      <c r="USA67" s="207"/>
      <c r="USB67" s="134" t="s">
        <v>136</v>
      </c>
      <c r="USC67" s="205"/>
      <c r="USD67" s="206"/>
      <c r="USE67" s="128" t="s">
        <v>24</v>
      </c>
      <c r="USF67" s="129">
        <v>8150</v>
      </c>
      <c r="USG67" s="137">
        <v>85</v>
      </c>
      <c r="USH67" s="138">
        <v>215</v>
      </c>
      <c r="USI67" s="138">
        <v>75</v>
      </c>
      <c r="USJ67" s="137">
        <v>150</v>
      </c>
      <c r="USK67" s="139">
        <f>SUM(USF67:USJ67)</f>
        <v>8675</v>
      </c>
      <c r="USL67" s="137">
        <v>200</v>
      </c>
      <c r="USM67" s="139">
        <f>SUM(USK67:USL67)</f>
        <v>8875</v>
      </c>
      <c r="USN67" s="132" t="s">
        <v>113</v>
      </c>
      <c r="USO67" s="133">
        <v>45845</v>
      </c>
      <c r="USP67" s="128" t="s">
        <v>41</v>
      </c>
      <c r="USQ67" s="207"/>
      <c r="USR67" s="134" t="s">
        <v>136</v>
      </c>
      <c r="USS67" s="205"/>
      <c r="UST67" s="206"/>
      <c r="USU67" s="128" t="s">
        <v>24</v>
      </c>
      <c r="USV67" s="129">
        <v>8150</v>
      </c>
      <c r="USW67" s="137">
        <v>85</v>
      </c>
      <c r="USX67" s="138">
        <v>215</v>
      </c>
      <c r="USY67" s="138">
        <v>75</v>
      </c>
      <c r="USZ67" s="137">
        <v>150</v>
      </c>
      <c r="UTA67" s="139">
        <f>SUM(USV67:USZ67)</f>
        <v>8675</v>
      </c>
      <c r="UTB67" s="137">
        <v>200</v>
      </c>
      <c r="UTC67" s="139">
        <f>SUM(UTA67:UTB67)</f>
        <v>8875</v>
      </c>
      <c r="UTD67" s="132" t="s">
        <v>113</v>
      </c>
      <c r="UTE67" s="133">
        <v>45845</v>
      </c>
      <c r="UTF67" s="128" t="s">
        <v>41</v>
      </c>
      <c r="UTG67" s="207"/>
      <c r="UTH67" s="134" t="s">
        <v>136</v>
      </c>
      <c r="UTI67" s="205"/>
      <c r="UTJ67" s="206"/>
      <c r="UTK67" s="128" t="s">
        <v>24</v>
      </c>
      <c r="UTL67" s="129">
        <v>8150</v>
      </c>
      <c r="UTM67" s="137">
        <v>85</v>
      </c>
      <c r="UTN67" s="138">
        <v>215</v>
      </c>
      <c r="UTO67" s="138">
        <v>75</v>
      </c>
      <c r="UTP67" s="137">
        <v>150</v>
      </c>
      <c r="UTQ67" s="139">
        <f>SUM(UTL67:UTP67)</f>
        <v>8675</v>
      </c>
      <c r="UTR67" s="137">
        <v>200</v>
      </c>
      <c r="UTS67" s="139">
        <f>SUM(UTQ67:UTR67)</f>
        <v>8875</v>
      </c>
      <c r="UTT67" s="132" t="s">
        <v>113</v>
      </c>
      <c r="UTU67" s="133">
        <v>45845</v>
      </c>
      <c r="UTV67" s="128" t="s">
        <v>41</v>
      </c>
      <c r="UTW67" s="207"/>
      <c r="UTX67" s="134" t="s">
        <v>136</v>
      </c>
      <c r="UTY67" s="205"/>
      <c r="UTZ67" s="206"/>
      <c r="UUA67" s="128" t="s">
        <v>24</v>
      </c>
      <c r="UUB67" s="129">
        <v>8150</v>
      </c>
      <c r="UUC67" s="137">
        <v>85</v>
      </c>
      <c r="UUD67" s="138">
        <v>215</v>
      </c>
      <c r="UUE67" s="138">
        <v>75</v>
      </c>
      <c r="UUF67" s="137">
        <v>150</v>
      </c>
      <c r="UUG67" s="139">
        <f>SUM(UUB67:UUF67)</f>
        <v>8675</v>
      </c>
      <c r="UUH67" s="137">
        <v>200</v>
      </c>
      <c r="UUI67" s="139">
        <f>SUM(UUG67:UUH67)</f>
        <v>8875</v>
      </c>
      <c r="UUJ67" s="132" t="s">
        <v>113</v>
      </c>
      <c r="UUK67" s="133">
        <v>45845</v>
      </c>
      <c r="UUL67" s="128" t="s">
        <v>41</v>
      </c>
      <c r="UUM67" s="207"/>
      <c r="UUN67" s="134" t="s">
        <v>136</v>
      </c>
      <c r="UUO67" s="205"/>
      <c r="UUP67" s="206"/>
      <c r="UUQ67" s="128" t="s">
        <v>24</v>
      </c>
      <c r="UUR67" s="129">
        <v>8150</v>
      </c>
      <c r="UUS67" s="137">
        <v>85</v>
      </c>
      <c r="UUT67" s="138">
        <v>215</v>
      </c>
      <c r="UUU67" s="138">
        <v>75</v>
      </c>
      <c r="UUV67" s="137">
        <v>150</v>
      </c>
      <c r="UUW67" s="139">
        <f>SUM(UUR67:UUV67)</f>
        <v>8675</v>
      </c>
      <c r="UUX67" s="137">
        <v>200</v>
      </c>
      <c r="UUY67" s="139">
        <f>SUM(UUW67:UUX67)</f>
        <v>8875</v>
      </c>
      <c r="UUZ67" s="132" t="s">
        <v>113</v>
      </c>
      <c r="UVA67" s="133">
        <v>45845</v>
      </c>
      <c r="UVB67" s="128" t="s">
        <v>41</v>
      </c>
      <c r="UVC67" s="207"/>
      <c r="UVD67" s="134" t="s">
        <v>136</v>
      </c>
      <c r="UVE67" s="205"/>
      <c r="UVF67" s="206"/>
      <c r="UVG67" s="128" t="s">
        <v>24</v>
      </c>
      <c r="UVH67" s="129">
        <v>8150</v>
      </c>
      <c r="UVI67" s="137">
        <v>85</v>
      </c>
      <c r="UVJ67" s="138">
        <v>215</v>
      </c>
      <c r="UVK67" s="138">
        <v>75</v>
      </c>
      <c r="UVL67" s="137">
        <v>150</v>
      </c>
      <c r="UVM67" s="139">
        <f>SUM(UVH67:UVL67)</f>
        <v>8675</v>
      </c>
      <c r="UVN67" s="137">
        <v>200</v>
      </c>
      <c r="UVO67" s="139">
        <f>SUM(UVM67:UVN67)</f>
        <v>8875</v>
      </c>
      <c r="UVP67" s="132" t="s">
        <v>113</v>
      </c>
      <c r="UVQ67" s="133">
        <v>45845</v>
      </c>
      <c r="UVR67" s="128" t="s">
        <v>41</v>
      </c>
      <c r="UVS67" s="207"/>
      <c r="UVT67" s="134" t="s">
        <v>136</v>
      </c>
      <c r="UVU67" s="205"/>
      <c r="UVV67" s="206"/>
      <c r="UVW67" s="128" t="s">
        <v>24</v>
      </c>
      <c r="UVX67" s="129">
        <v>8150</v>
      </c>
      <c r="UVY67" s="137">
        <v>85</v>
      </c>
      <c r="UVZ67" s="138">
        <v>215</v>
      </c>
      <c r="UWA67" s="138">
        <v>75</v>
      </c>
      <c r="UWB67" s="137">
        <v>150</v>
      </c>
      <c r="UWC67" s="139">
        <f>SUM(UVX67:UWB67)</f>
        <v>8675</v>
      </c>
      <c r="UWD67" s="137">
        <v>200</v>
      </c>
      <c r="UWE67" s="139">
        <f>SUM(UWC67:UWD67)</f>
        <v>8875</v>
      </c>
      <c r="UWF67" s="132" t="s">
        <v>113</v>
      </c>
      <c r="UWG67" s="133">
        <v>45845</v>
      </c>
      <c r="UWH67" s="128" t="s">
        <v>41</v>
      </c>
      <c r="UWI67" s="207"/>
      <c r="UWJ67" s="134" t="s">
        <v>136</v>
      </c>
      <c r="UWK67" s="205"/>
      <c r="UWL67" s="206"/>
      <c r="UWM67" s="128" t="s">
        <v>24</v>
      </c>
      <c r="UWN67" s="129">
        <v>8150</v>
      </c>
      <c r="UWO67" s="137">
        <v>85</v>
      </c>
      <c r="UWP67" s="138">
        <v>215</v>
      </c>
      <c r="UWQ67" s="138">
        <v>75</v>
      </c>
      <c r="UWR67" s="137">
        <v>150</v>
      </c>
      <c r="UWS67" s="139">
        <f>SUM(UWN67:UWR67)</f>
        <v>8675</v>
      </c>
      <c r="UWT67" s="137">
        <v>200</v>
      </c>
      <c r="UWU67" s="139">
        <f>SUM(UWS67:UWT67)</f>
        <v>8875</v>
      </c>
      <c r="UWV67" s="132" t="s">
        <v>113</v>
      </c>
      <c r="UWW67" s="133">
        <v>45845</v>
      </c>
      <c r="UWX67" s="128" t="s">
        <v>41</v>
      </c>
      <c r="UWY67" s="207"/>
      <c r="UWZ67" s="134" t="s">
        <v>136</v>
      </c>
      <c r="UXA67" s="205"/>
      <c r="UXB67" s="206"/>
      <c r="UXC67" s="128" t="s">
        <v>24</v>
      </c>
      <c r="UXD67" s="129">
        <v>8150</v>
      </c>
      <c r="UXE67" s="137">
        <v>85</v>
      </c>
      <c r="UXF67" s="138">
        <v>215</v>
      </c>
      <c r="UXG67" s="138">
        <v>75</v>
      </c>
      <c r="UXH67" s="137">
        <v>150</v>
      </c>
      <c r="UXI67" s="139">
        <f>SUM(UXD67:UXH67)</f>
        <v>8675</v>
      </c>
      <c r="UXJ67" s="137">
        <v>200</v>
      </c>
      <c r="UXK67" s="139">
        <f>SUM(UXI67:UXJ67)</f>
        <v>8875</v>
      </c>
      <c r="UXL67" s="132" t="s">
        <v>113</v>
      </c>
      <c r="UXM67" s="133">
        <v>45845</v>
      </c>
      <c r="UXN67" s="128" t="s">
        <v>41</v>
      </c>
      <c r="UXO67" s="207"/>
      <c r="UXP67" s="134" t="s">
        <v>136</v>
      </c>
      <c r="UXQ67" s="205"/>
      <c r="UXR67" s="206"/>
      <c r="UXS67" s="128" t="s">
        <v>24</v>
      </c>
      <c r="UXT67" s="129">
        <v>8150</v>
      </c>
      <c r="UXU67" s="137">
        <v>85</v>
      </c>
      <c r="UXV67" s="138">
        <v>215</v>
      </c>
      <c r="UXW67" s="138">
        <v>75</v>
      </c>
      <c r="UXX67" s="137">
        <v>150</v>
      </c>
      <c r="UXY67" s="139">
        <f>SUM(UXT67:UXX67)</f>
        <v>8675</v>
      </c>
      <c r="UXZ67" s="137">
        <v>200</v>
      </c>
      <c r="UYA67" s="139">
        <f>SUM(UXY67:UXZ67)</f>
        <v>8875</v>
      </c>
      <c r="UYB67" s="132" t="s">
        <v>113</v>
      </c>
      <c r="UYC67" s="133">
        <v>45845</v>
      </c>
      <c r="UYD67" s="128" t="s">
        <v>41</v>
      </c>
      <c r="UYE67" s="207"/>
      <c r="UYF67" s="134" t="s">
        <v>136</v>
      </c>
      <c r="UYG67" s="205"/>
      <c r="UYH67" s="206"/>
      <c r="UYI67" s="128" t="s">
        <v>24</v>
      </c>
      <c r="UYJ67" s="129">
        <v>8150</v>
      </c>
      <c r="UYK67" s="137">
        <v>85</v>
      </c>
      <c r="UYL67" s="138">
        <v>215</v>
      </c>
      <c r="UYM67" s="138">
        <v>75</v>
      </c>
      <c r="UYN67" s="137">
        <v>150</v>
      </c>
      <c r="UYO67" s="139">
        <f>SUM(UYJ67:UYN67)</f>
        <v>8675</v>
      </c>
      <c r="UYP67" s="137">
        <v>200</v>
      </c>
      <c r="UYQ67" s="139">
        <f>SUM(UYO67:UYP67)</f>
        <v>8875</v>
      </c>
      <c r="UYR67" s="132" t="s">
        <v>113</v>
      </c>
      <c r="UYS67" s="133">
        <v>45845</v>
      </c>
      <c r="UYT67" s="128" t="s">
        <v>41</v>
      </c>
      <c r="UYU67" s="207"/>
      <c r="UYV67" s="134" t="s">
        <v>136</v>
      </c>
      <c r="UYW67" s="205"/>
      <c r="UYX67" s="206"/>
      <c r="UYY67" s="128" t="s">
        <v>24</v>
      </c>
      <c r="UYZ67" s="129">
        <v>8150</v>
      </c>
      <c r="UZA67" s="137">
        <v>85</v>
      </c>
      <c r="UZB67" s="138">
        <v>215</v>
      </c>
      <c r="UZC67" s="138">
        <v>75</v>
      </c>
      <c r="UZD67" s="137">
        <v>150</v>
      </c>
      <c r="UZE67" s="139">
        <f>SUM(UYZ67:UZD67)</f>
        <v>8675</v>
      </c>
      <c r="UZF67" s="137">
        <v>200</v>
      </c>
      <c r="UZG67" s="139">
        <f>SUM(UZE67:UZF67)</f>
        <v>8875</v>
      </c>
      <c r="UZH67" s="132" t="s">
        <v>113</v>
      </c>
      <c r="UZI67" s="133">
        <v>45845</v>
      </c>
      <c r="UZJ67" s="128" t="s">
        <v>41</v>
      </c>
      <c r="UZK67" s="207"/>
      <c r="UZL67" s="134" t="s">
        <v>136</v>
      </c>
      <c r="UZM67" s="205"/>
      <c r="UZN67" s="206"/>
      <c r="UZO67" s="128" t="s">
        <v>24</v>
      </c>
      <c r="UZP67" s="129">
        <v>8150</v>
      </c>
      <c r="UZQ67" s="137">
        <v>85</v>
      </c>
      <c r="UZR67" s="138">
        <v>215</v>
      </c>
      <c r="UZS67" s="138">
        <v>75</v>
      </c>
      <c r="UZT67" s="137">
        <v>150</v>
      </c>
      <c r="UZU67" s="139">
        <f>SUM(UZP67:UZT67)</f>
        <v>8675</v>
      </c>
      <c r="UZV67" s="137">
        <v>200</v>
      </c>
      <c r="UZW67" s="139">
        <f>SUM(UZU67:UZV67)</f>
        <v>8875</v>
      </c>
      <c r="UZX67" s="132" t="s">
        <v>113</v>
      </c>
      <c r="UZY67" s="133">
        <v>45845</v>
      </c>
      <c r="UZZ67" s="128" t="s">
        <v>41</v>
      </c>
      <c r="VAA67" s="207"/>
      <c r="VAB67" s="134" t="s">
        <v>136</v>
      </c>
      <c r="VAC67" s="205"/>
      <c r="VAD67" s="206"/>
      <c r="VAE67" s="128" t="s">
        <v>24</v>
      </c>
      <c r="VAF67" s="129">
        <v>8150</v>
      </c>
      <c r="VAG67" s="137">
        <v>85</v>
      </c>
      <c r="VAH67" s="138">
        <v>215</v>
      </c>
      <c r="VAI67" s="138">
        <v>75</v>
      </c>
      <c r="VAJ67" s="137">
        <v>150</v>
      </c>
      <c r="VAK67" s="139">
        <f>SUM(VAF67:VAJ67)</f>
        <v>8675</v>
      </c>
      <c r="VAL67" s="137">
        <v>200</v>
      </c>
      <c r="VAM67" s="139">
        <f>SUM(VAK67:VAL67)</f>
        <v>8875</v>
      </c>
      <c r="VAN67" s="132" t="s">
        <v>113</v>
      </c>
      <c r="VAO67" s="133">
        <v>45845</v>
      </c>
      <c r="VAP67" s="128" t="s">
        <v>41</v>
      </c>
      <c r="VAQ67" s="207"/>
      <c r="VAR67" s="134" t="s">
        <v>136</v>
      </c>
      <c r="VAS67" s="205"/>
      <c r="VAT67" s="206"/>
      <c r="VAU67" s="128" t="s">
        <v>24</v>
      </c>
      <c r="VAV67" s="129">
        <v>8150</v>
      </c>
      <c r="VAW67" s="137">
        <v>85</v>
      </c>
      <c r="VAX67" s="138">
        <v>215</v>
      </c>
      <c r="VAY67" s="138">
        <v>75</v>
      </c>
      <c r="VAZ67" s="137">
        <v>150</v>
      </c>
      <c r="VBA67" s="139">
        <f>SUM(VAV67:VAZ67)</f>
        <v>8675</v>
      </c>
      <c r="VBB67" s="137">
        <v>200</v>
      </c>
      <c r="VBC67" s="139">
        <f>SUM(VBA67:VBB67)</f>
        <v>8875</v>
      </c>
      <c r="VBD67" s="132" t="s">
        <v>113</v>
      </c>
      <c r="VBE67" s="133">
        <v>45845</v>
      </c>
      <c r="VBF67" s="128" t="s">
        <v>41</v>
      </c>
      <c r="VBG67" s="207"/>
      <c r="VBH67" s="134" t="s">
        <v>136</v>
      </c>
      <c r="VBI67" s="205"/>
      <c r="VBJ67" s="206"/>
      <c r="VBK67" s="128" t="s">
        <v>24</v>
      </c>
      <c r="VBL67" s="129">
        <v>8150</v>
      </c>
      <c r="VBM67" s="137">
        <v>85</v>
      </c>
      <c r="VBN67" s="138">
        <v>215</v>
      </c>
      <c r="VBO67" s="138">
        <v>75</v>
      </c>
      <c r="VBP67" s="137">
        <v>150</v>
      </c>
      <c r="VBQ67" s="139">
        <f>SUM(VBL67:VBP67)</f>
        <v>8675</v>
      </c>
      <c r="VBR67" s="137">
        <v>200</v>
      </c>
      <c r="VBS67" s="139">
        <f>SUM(VBQ67:VBR67)</f>
        <v>8875</v>
      </c>
      <c r="VBT67" s="132" t="s">
        <v>113</v>
      </c>
      <c r="VBU67" s="133">
        <v>45845</v>
      </c>
      <c r="VBV67" s="128" t="s">
        <v>41</v>
      </c>
      <c r="VBW67" s="207"/>
      <c r="VBX67" s="134" t="s">
        <v>136</v>
      </c>
      <c r="VBY67" s="205"/>
      <c r="VBZ67" s="206"/>
      <c r="VCA67" s="128" t="s">
        <v>24</v>
      </c>
      <c r="VCB67" s="129">
        <v>8150</v>
      </c>
      <c r="VCC67" s="137">
        <v>85</v>
      </c>
      <c r="VCD67" s="138">
        <v>215</v>
      </c>
      <c r="VCE67" s="138">
        <v>75</v>
      </c>
      <c r="VCF67" s="137">
        <v>150</v>
      </c>
      <c r="VCG67" s="139">
        <f>SUM(VCB67:VCF67)</f>
        <v>8675</v>
      </c>
      <c r="VCH67" s="137">
        <v>200</v>
      </c>
      <c r="VCI67" s="139">
        <f>SUM(VCG67:VCH67)</f>
        <v>8875</v>
      </c>
      <c r="VCJ67" s="132" t="s">
        <v>113</v>
      </c>
      <c r="VCK67" s="133">
        <v>45845</v>
      </c>
      <c r="VCL67" s="128" t="s">
        <v>41</v>
      </c>
      <c r="VCM67" s="207"/>
      <c r="VCN67" s="134" t="s">
        <v>136</v>
      </c>
      <c r="VCO67" s="205"/>
      <c r="VCP67" s="206"/>
      <c r="VCQ67" s="128" t="s">
        <v>24</v>
      </c>
      <c r="VCR67" s="129">
        <v>8150</v>
      </c>
      <c r="VCS67" s="137">
        <v>85</v>
      </c>
      <c r="VCT67" s="138">
        <v>215</v>
      </c>
      <c r="VCU67" s="138">
        <v>75</v>
      </c>
      <c r="VCV67" s="137">
        <v>150</v>
      </c>
      <c r="VCW67" s="139">
        <f>SUM(VCR67:VCV67)</f>
        <v>8675</v>
      </c>
      <c r="VCX67" s="137">
        <v>200</v>
      </c>
      <c r="VCY67" s="139">
        <f>SUM(VCW67:VCX67)</f>
        <v>8875</v>
      </c>
      <c r="VCZ67" s="132" t="s">
        <v>113</v>
      </c>
      <c r="VDA67" s="133">
        <v>45845</v>
      </c>
      <c r="VDB67" s="128" t="s">
        <v>41</v>
      </c>
      <c r="VDC67" s="207"/>
      <c r="VDD67" s="134" t="s">
        <v>136</v>
      </c>
      <c r="VDE67" s="205"/>
      <c r="VDF67" s="206"/>
      <c r="VDG67" s="128" t="s">
        <v>24</v>
      </c>
      <c r="VDH67" s="129">
        <v>8150</v>
      </c>
      <c r="VDI67" s="137">
        <v>85</v>
      </c>
      <c r="VDJ67" s="138">
        <v>215</v>
      </c>
      <c r="VDK67" s="138">
        <v>75</v>
      </c>
      <c r="VDL67" s="137">
        <v>150</v>
      </c>
      <c r="VDM67" s="139">
        <f>SUM(VDH67:VDL67)</f>
        <v>8675</v>
      </c>
      <c r="VDN67" s="137">
        <v>200</v>
      </c>
      <c r="VDO67" s="139">
        <f>SUM(VDM67:VDN67)</f>
        <v>8875</v>
      </c>
      <c r="VDP67" s="132" t="s">
        <v>113</v>
      </c>
      <c r="VDQ67" s="133">
        <v>45845</v>
      </c>
      <c r="VDR67" s="128" t="s">
        <v>41</v>
      </c>
      <c r="VDS67" s="207"/>
      <c r="VDT67" s="134" t="s">
        <v>136</v>
      </c>
      <c r="VDU67" s="205"/>
      <c r="VDV67" s="206"/>
      <c r="VDW67" s="128" t="s">
        <v>24</v>
      </c>
      <c r="VDX67" s="129">
        <v>8150</v>
      </c>
      <c r="VDY67" s="137">
        <v>85</v>
      </c>
      <c r="VDZ67" s="138">
        <v>215</v>
      </c>
      <c r="VEA67" s="138">
        <v>75</v>
      </c>
      <c r="VEB67" s="137">
        <v>150</v>
      </c>
      <c r="VEC67" s="139">
        <f>SUM(VDX67:VEB67)</f>
        <v>8675</v>
      </c>
      <c r="VED67" s="137">
        <v>200</v>
      </c>
      <c r="VEE67" s="139">
        <f>SUM(VEC67:VED67)</f>
        <v>8875</v>
      </c>
      <c r="VEF67" s="132" t="s">
        <v>113</v>
      </c>
      <c r="VEG67" s="133">
        <v>45845</v>
      </c>
      <c r="VEH67" s="128" t="s">
        <v>41</v>
      </c>
      <c r="VEI67" s="207"/>
      <c r="VEJ67" s="134" t="s">
        <v>136</v>
      </c>
      <c r="VEK67" s="205"/>
      <c r="VEL67" s="206"/>
      <c r="VEM67" s="128" t="s">
        <v>24</v>
      </c>
      <c r="VEN67" s="129">
        <v>8150</v>
      </c>
      <c r="VEO67" s="137">
        <v>85</v>
      </c>
      <c r="VEP67" s="138">
        <v>215</v>
      </c>
      <c r="VEQ67" s="138">
        <v>75</v>
      </c>
      <c r="VER67" s="137">
        <v>150</v>
      </c>
      <c r="VES67" s="139">
        <f>SUM(VEN67:VER67)</f>
        <v>8675</v>
      </c>
      <c r="VET67" s="137">
        <v>200</v>
      </c>
      <c r="VEU67" s="139">
        <f>SUM(VES67:VET67)</f>
        <v>8875</v>
      </c>
      <c r="VEV67" s="132" t="s">
        <v>113</v>
      </c>
      <c r="VEW67" s="133">
        <v>45845</v>
      </c>
      <c r="VEX67" s="128" t="s">
        <v>41</v>
      </c>
      <c r="VEY67" s="207"/>
      <c r="VEZ67" s="134" t="s">
        <v>136</v>
      </c>
      <c r="VFA67" s="205"/>
      <c r="VFB67" s="206"/>
      <c r="VFC67" s="128" t="s">
        <v>24</v>
      </c>
      <c r="VFD67" s="129">
        <v>8150</v>
      </c>
      <c r="VFE67" s="137">
        <v>85</v>
      </c>
      <c r="VFF67" s="138">
        <v>215</v>
      </c>
      <c r="VFG67" s="138">
        <v>75</v>
      </c>
      <c r="VFH67" s="137">
        <v>150</v>
      </c>
      <c r="VFI67" s="139">
        <f>SUM(VFD67:VFH67)</f>
        <v>8675</v>
      </c>
      <c r="VFJ67" s="137">
        <v>200</v>
      </c>
      <c r="VFK67" s="139">
        <f>SUM(VFI67:VFJ67)</f>
        <v>8875</v>
      </c>
      <c r="VFL67" s="132" t="s">
        <v>113</v>
      </c>
      <c r="VFM67" s="133">
        <v>45845</v>
      </c>
      <c r="VFN67" s="128" t="s">
        <v>41</v>
      </c>
      <c r="VFO67" s="207"/>
      <c r="VFP67" s="134" t="s">
        <v>136</v>
      </c>
      <c r="VFQ67" s="205"/>
      <c r="VFR67" s="206"/>
      <c r="VFS67" s="128" t="s">
        <v>24</v>
      </c>
      <c r="VFT67" s="129">
        <v>8150</v>
      </c>
      <c r="VFU67" s="137">
        <v>85</v>
      </c>
      <c r="VFV67" s="138">
        <v>215</v>
      </c>
      <c r="VFW67" s="138">
        <v>75</v>
      </c>
      <c r="VFX67" s="137">
        <v>150</v>
      </c>
      <c r="VFY67" s="139">
        <f>SUM(VFT67:VFX67)</f>
        <v>8675</v>
      </c>
      <c r="VFZ67" s="137">
        <v>200</v>
      </c>
      <c r="VGA67" s="139">
        <f>SUM(VFY67:VFZ67)</f>
        <v>8875</v>
      </c>
      <c r="VGB67" s="132" t="s">
        <v>113</v>
      </c>
      <c r="VGC67" s="133">
        <v>45845</v>
      </c>
      <c r="VGD67" s="128" t="s">
        <v>41</v>
      </c>
      <c r="VGE67" s="207"/>
      <c r="VGF67" s="134" t="s">
        <v>136</v>
      </c>
      <c r="VGG67" s="205"/>
      <c r="VGH67" s="206"/>
      <c r="VGI67" s="128" t="s">
        <v>24</v>
      </c>
      <c r="VGJ67" s="129">
        <v>8150</v>
      </c>
      <c r="VGK67" s="137">
        <v>85</v>
      </c>
      <c r="VGL67" s="138">
        <v>215</v>
      </c>
      <c r="VGM67" s="138">
        <v>75</v>
      </c>
      <c r="VGN67" s="137">
        <v>150</v>
      </c>
      <c r="VGO67" s="139">
        <f>SUM(VGJ67:VGN67)</f>
        <v>8675</v>
      </c>
      <c r="VGP67" s="137">
        <v>200</v>
      </c>
      <c r="VGQ67" s="139">
        <f>SUM(VGO67:VGP67)</f>
        <v>8875</v>
      </c>
      <c r="VGR67" s="132" t="s">
        <v>113</v>
      </c>
      <c r="VGS67" s="133">
        <v>45845</v>
      </c>
      <c r="VGT67" s="128" t="s">
        <v>41</v>
      </c>
      <c r="VGU67" s="207"/>
      <c r="VGV67" s="134" t="s">
        <v>136</v>
      </c>
      <c r="VGW67" s="205"/>
      <c r="VGX67" s="206"/>
      <c r="VGY67" s="128" t="s">
        <v>24</v>
      </c>
      <c r="VGZ67" s="129">
        <v>8150</v>
      </c>
      <c r="VHA67" s="137">
        <v>85</v>
      </c>
      <c r="VHB67" s="138">
        <v>215</v>
      </c>
      <c r="VHC67" s="138">
        <v>75</v>
      </c>
    </row>
    <row r="68" spans="2:63 3073:12199 12790:15083" x14ac:dyDescent="0.3">
      <c r="B68" s="324"/>
      <c r="C68" s="18" t="s">
        <v>130</v>
      </c>
      <c r="D68" s="129" t="s">
        <v>24</v>
      </c>
      <c r="E68" s="137">
        <f>CEILING((((8800+297+115)*1.12)- 85)-150,50)</f>
        <v>10100</v>
      </c>
      <c r="F68" s="137">
        <v>85</v>
      </c>
      <c r="G68" s="137">
        <v>215</v>
      </c>
      <c r="H68" s="137">
        <v>75</v>
      </c>
      <c r="I68" s="137">
        <v>150</v>
      </c>
      <c r="J68" s="137">
        <f t="shared" si="8"/>
        <v>10625</v>
      </c>
      <c r="K68" s="137">
        <v>200</v>
      </c>
      <c r="L68" s="208">
        <f t="shared" si="9"/>
        <v>10825</v>
      </c>
      <c r="M68" s="132" t="s">
        <v>113</v>
      </c>
      <c r="N68" s="180" t="s">
        <v>158</v>
      </c>
      <c r="O68" s="141" t="s">
        <v>41</v>
      </c>
      <c r="P68" s="116" t="s">
        <v>159</v>
      </c>
      <c r="Q68" s="79" t="s">
        <v>136</v>
      </c>
      <c r="R68" s="160"/>
      <c r="S68" s="153"/>
      <c r="T68" s="154"/>
      <c r="U68" s="155"/>
      <c r="V68" s="155"/>
      <c r="W68" s="154"/>
      <c r="X68" s="156"/>
      <c r="Y68" s="154"/>
      <c r="Z68" s="156"/>
      <c r="AA68" s="157"/>
      <c r="AB68" s="158"/>
      <c r="AC68" s="152"/>
      <c r="AD68" s="159"/>
      <c r="AE68" s="163"/>
      <c r="AF68" s="140"/>
      <c r="AG68" s="149"/>
      <c r="AH68"/>
      <c r="AI68" s="142"/>
      <c r="AJ68" s="143"/>
      <c r="AK68" s="144"/>
      <c r="AL68" s="144"/>
      <c r="AM68" s="143"/>
      <c r="AN68" s="145"/>
      <c r="AO68" s="143"/>
      <c r="AP68" s="145"/>
      <c r="AQ68" s="146"/>
      <c r="AR68" s="147"/>
      <c r="AS68"/>
      <c r="AT68" s="148"/>
      <c r="AU68"/>
      <c r="AV68" s="140"/>
      <c r="AW68" s="149"/>
      <c r="AX68"/>
      <c r="AY68" s="142"/>
      <c r="AZ68" s="143"/>
      <c r="BA68" s="144"/>
      <c r="BB68" s="144"/>
      <c r="BC68" s="143"/>
      <c r="BD68" s="145"/>
      <c r="BE68" s="143"/>
      <c r="BF68" s="145"/>
      <c r="BG68" s="146"/>
      <c r="BH68" s="147"/>
      <c r="BI68"/>
      <c r="BJ68" s="148"/>
      <c r="BK68"/>
      <c r="DNE68" s="147"/>
      <c r="DNF68"/>
      <c r="DNG68" s="148"/>
      <c r="DNH68"/>
      <c r="DNI68" s="140"/>
      <c r="DNJ68" s="149"/>
      <c r="DNK68"/>
      <c r="DNL68" s="142"/>
      <c r="DNM68" s="143"/>
      <c r="DNN68" s="144"/>
      <c r="DNO68" s="144"/>
      <c r="DNP68" s="143"/>
      <c r="DNQ68" s="145"/>
      <c r="DNR68" s="143"/>
      <c r="DNS68" s="145"/>
      <c r="DNT68" s="146"/>
      <c r="DNU68" s="147"/>
      <c r="DNV68"/>
      <c r="DNW68" s="148"/>
      <c r="DNX68"/>
      <c r="DNY68" s="140"/>
      <c r="DNZ68" s="149"/>
      <c r="DOA68"/>
      <c r="DOB68" s="142"/>
      <c r="DOC68" s="143"/>
      <c r="DOD68" s="144"/>
      <c r="DOE68" s="144"/>
      <c r="DOF68" s="143"/>
      <c r="DOG68" s="145"/>
      <c r="DOH68" s="143"/>
      <c r="DOI68" s="145"/>
      <c r="DOJ68" s="146"/>
      <c r="DOK68" s="147"/>
      <c r="DOL68"/>
      <c r="DOM68" s="148"/>
      <c r="DON68"/>
      <c r="DOO68" s="140"/>
      <c r="DOP68" s="149"/>
      <c r="DOQ68"/>
      <c r="DOR68" s="142"/>
      <c r="DOS68" s="143"/>
      <c r="DOT68" s="144"/>
      <c r="DOU68" s="144"/>
      <c r="DOV68" s="143"/>
      <c r="DOW68" s="145"/>
      <c r="DOX68" s="143"/>
      <c r="DOY68" s="145"/>
      <c r="DOZ68" s="146"/>
      <c r="DPA68" s="147"/>
      <c r="DPB68"/>
      <c r="DPC68" s="148"/>
      <c r="DPD68"/>
      <c r="DPE68" s="140"/>
      <c r="DPF68" s="149"/>
      <c r="DPG68"/>
      <c r="DPH68" s="142"/>
      <c r="DPI68" s="143"/>
      <c r="DPJ68" s="144"/>
      <c r="DPK68" s="144"/>
      <c r="DPL68" s="143"/>
      <c r="DPM68" s="145"/>
      <c r="DPN68" s="143"/>
      <c r="DPO68" s="145"/>
      <c r="DPP68" s="146"/>
      <c r="DPQ68" s="147"/>
      <c r="DPR68"/>
      <c r="DPS68" s="148"/>
      <c r="DPT68"/>
      <c r="DPU68" s="140"/>
      <c r="DPV68" s="149"/>
      <c r="DPW68"/>
      <c r="DPX68" s="142"/>
      <c r="DPY68" s="143"/>
      <c r="DPZ68" s="144"/>
      <c r="DQA68" s="144"/>
      <c r="DQB68" s="143"/>
      <c r="DQC68" s="145"/>
      <c r="DQD68" s="143"/>
      <c r="DQE68" s="145"/>
      <c r="DQF68" s="146"/>
      <c r="DQG68" s="147"/>
      <c r="DQH68"/>
      <c r="DQI68" s="148"/>
      <c r="DQJ68"/>
      <c r="DQK68" s="140"/>
      <c r="DQL68" s="149"/>
      <c r="DQM68"/>
      <c r="DQN68" s="142"/>
      <c r="DQO68" s="143"/>
      <c r="DQP68" s="144"/>
      <c r="DQQ68" s="144"/>
      <c r="DQR68" s="143"/>
      <c r="DQS68" s="145"/>
      <c r="DQT68" s="143"/>
      <c r="DQU68" s="145"/>
      <c r="DQV68" s="146"/>
      <c r="DQW68" s="147"/>
      <c r="DQX68"/>
      <c r="DQY68" s="148"/>
      <c r="DQZ68"/>
      <c r="DRA68" s="140"/>
      <c r="DRB68" s="149"/>
      <c r="DRC68"/>
      <c r="DRD68" s="142"/>
      <c r="DRE68" s="143"/>
      <c r="DRF68" s="144"/>
      <c r="DRG68" s="144"/>
      <c r="DRH68" s="143"/>
      <c r="DRI68" s="145"/>
      <c r="DRJ68" s="143"/>
      <c r="DRK68" s="145"/>
      <c r="DRL68" s="146"/>
      <c r="DRM68" s="147"/>
      <c r="DRN68"/>
      <c r="DRO68" s="148"/>
      <c r="DRP68"/>
      <c r="DRQ68" s="140"/>
      <c r="DRR68" s="149"/>
      <c r="DRS68"/>
      <c r="DRT68" s="142"/>
      <c r="DRU68" s="143"/>
      <c r="DRV68" s="144"/>
      <c r="DRW68" s="144"/>
      <c r="DRX68" s="143"/>
      <c r="DRY68" s="145"/>
      <c r="DRZ68" s="143"/>
      <c r="DSA68" s="145"/>
      <c r="DSB68" s="146"/>
      <c r="DSC68" s="147"/>
      <c r="DSD68"/>
      <c r="DSE68" s="148"/>
      <c r="DSF68"/>
      <c r="DSG68" s="140"/>
      <c r="DSH68" s="149"/>
      <c r="DSI68"/>
      <c r="DSJ68" s="142"/>
      <c r="DSK68" s="143"/>
      <c r="DSL68" s="144"/>
      <c r="DSM68" s="144"/>
      <c r="DSN68" s="143"/>
      <c r="DSO68" s="145"/>
      <c r="DSP68" s="143"/>
      <c r="DSQ68" s="145"/>
      <c r="DSR68" s="146"/>
      <c r="DSS68" s="147"/>
      <c r="DST68"/>
      <c r="DSU68" s="148"/>
      <c r="DSV68"/>
      <c r="DSW68" s="140"/>
      <c r="DSX68" s="149"/>
      <c r="DSY68"/>
      <c r="DSZ68" s="142"/>
      <c r="DTA68" s="143"/>
      <c r="DTB68" s="144"/>
      <c r="DTC68" s="144"/>
      <c r="DTD68" s="143"/>
      <c r="DTE68" s="145"/>
      <c r="DTF68" s="143"/>
      <c r="DTG68" s="145"/>
      <c r="DTH68" s="146"/>
      <c r="DTI68" s="147"/>
      <c r="DTJ68"/>
      <c r="DTK68" s="148"/>
      <c r="DTL68"/>
      <c r="DTM68" s="140"/>
      <c r="DTN68" s="149"/>
      <c r="DTO68"/>
      <c r="DTP68" s="142"/>
      <c r="DTQ68" s="143"/>
      <c r="DTR68" s="144"/>
      <c r="DTS68" s="144"/>
      <c r="DTT68" s="143"/>
      <c r="DTU68" s="145"/>
      <c r="DTV68" s="143"/>
      <c r="DTW68" s="145"/>
      <c r="DTX68" s="146"/>
      <c r="DTY68" s="147"/>
      <c r="DTZ68"/>
      <c r="DUA68" s="148"/>
      <c r="DUB68"/>
      <c r="DUC68" s="140"/>
      <c r="DUD68" s="149"/>
      <c r="DUE68"/>
      <c r="DUF68" s="142"/>
      <c r="DUG68" s="143"/>
      <c r="DUH68" s="144"/>
      <c r="DUI68" s="144"/>
      <c r="DUJ68" s="143"/>
      <c r="DUK68" s="145"/>
      <c r="DUL68" s="143"/>
      <c r="DUM68" s="145"/>
      <c r="DUN68" s="146"/>
      <c r="DUO68" s="147"/>
      <c r="DUP68"/>
      <c r="DUQ68" s="148"/>
      <c r="DUR68"/>
      <c r="DUS68" s="140"/>
      <c r="DUT68" s="149"/>
      <c r="DUU68"/>
      <c r="DUV68" s="142"/>
      <c r="DUW68" s="143"/>
      <c r="DUX68" s="144"/>
      <c r="DUY68" s="144"/>
      <c r="DUZ68" s="143"/>
      <c r="DVA68" s="145"/>
      <c r="DVB68" s="143"/>
      <c r="DVC68" s="145"/>
      <c r="DVD68" s="146"/>
      <c r="DVE68" s="147"/>
      <c r="DVF68"/>
      <c r="DVG68" s="148"/>
      <c r="DVH68"/>
      <c r="DVI68" s="140"/>
      <c r="DVJ68" s="149"/>
      <c r="DVK68"/>
      <c r="DVL68" s="142"/>
      <c r="DVM68" s="143"/>
      <c r="DVN68" s="144"/>
      <c r="DVO68" s="144"/>
      <c r="DVP68" s="143"/>
      <c r="DVQ68" s="145"/>
      <c r="DVR68" s="143"/>
      <c r="DVS68" s="145"/>
      <c r="DVT68" s="146"/>
      <c r="DVU68" s="147"/>
      <c r="DVV68"/>
      <c r="DVW68" s="148"/>
      <c r="DVX68"/>
      <c r="DVY68" s="140"/>
      <c r="DVZ68" s="149"/>
      <c r="DWA68"/>
      <c r="DWB68" s="142"/>
      <c r="DWC68" s="143"/>
      <c r="DWD68" s="144"/>
      <c r="DWE68" s="144"/>
      <c r="DWF68" s="143"/>
      <c r="DWG68" s="145"/>
      <c r="DWH68" s="143"/>
      <c r="DWI68" s="145"/>
      <c r="DWJ68" s="146"/>
      <c r="DWK68" s="147"/>
      <c r="DWL68"/>
      <c r="DWM68" s="148"/>
      <c r="DWN68"/>
      <c r="DWO68" s="140"/>
      <c r="DWP68" s="149"/>
      <c r="DWQ68"/>
      <c r="DWR68" s="142"/>
      <c r="DWS68" s="143"/>
      <c r="DWT68" s="144"/>
      <c r="DWU68" s="144"/>
      <c r="DWV68" s="143"/>
      <c r="DWW68" s="145"/>
      <c r="DWX68" s="143"/>
      <c r="DWY68" s="145"/>
      <c r="DWZ68" s="146"/>
      <c r="DXA68" s="147"/>
      <c r="DXB68"/>
      <c r="DXC68" s="148"/>
      <c r="DXD68"/>
      <c r="DXE68" s="140"/>
      <c r="DXF68" s="149"/>
      <c r="DXG68"/>
      <c r="DXH68" s="142"/>
      <c r="DXI68" s="143"/>
      <c r="DXJ68" s="144"/>
      <c r="DXK68" s="144"/>
      <c r="DXL68" s="143"/>
      <c r="DXM68" s="145"/>
      <c r="DXN68" s="143"/>
      <c r="DXO68" s="145"/>
      <c r="DXP68" s="146"/>
      <c r="DXQ68" s="147"/>
      <c r="DXR68"/>
      <c r="DXS68" s="148"/>
      <c r="DXT68"/>
      <c r="DXU68" s="140"/>
      <c r="DXV68" s="149"/>
      <c r="DXW68"/>
      <c r="DXX68" s="142"/>
      <c r="DXY68" s="143"/>
      <c r="DXZ68" s="144"/>
      <c r="DYA68" s="144"/>
      <c r="DYB68" s="143"/>
      <c r="DYC68" s="145"/>
      <c r="DYD68" s="143"/>
      <c r="DYE68" s="145"/>
      <c r="DYF68" s="146"/>
      <c r="DYG68" s="147"/>
      <c r="DYH68"/>
      <c r="DYI68" s="148"/>
      <c r="DYJ68"/>
      <c r="DYK68" s="140"/>
      <c r="DYL68" s="149"/>
      <c r="DYM68"/>
      <c r="DYN68" s="142"/>
      <c r="DYO68" s="143"/>
      <c r="DYP68" s="144"/>
      <c r="DYQ68" s="144"/>
      <c r="DYR68" s="143"/>
      <c r="DYS68" s="145"/>
      <c r="DYT68" s="143"/>
      <c r="DYU68" s="145"/>
      <c r="DYV68" s="146"/>
      <c r="DYW68" s="147"/>
      <c r="DYX68"/>
      <c r="DYY68" s="148"/>
      <c r="DYZ68"/>
      <c r="DZA68" s="140"/>
      <c r="DZB68" s="149"/>
      <c r="DZC68"/>
      <c r="DZD68" s="142"/>
      <c r="DZE68" s="143"/>
      <c r="DZF68" s="144"/>
      <c r="DZG68" s="144"/>
      <c r="DZH68" s="143"/>
      <c r="DZI68" s="145"/>
      <c r="DZJ68" s="143"/>
      <c r="DZK68" s="145"/>
      <c r="DZL68" s="146"/>
      <c r="DZM68" s="147"/>
      <c r="DZN68"/>
      <c r="DZO68" s="148"/>
      <c r="DZP68"/>
      <c r="DZQ68" s="140"/>
      <c r="DZR68" s="149"/>
      <c r="DZS68"/>
      <c r="DZT68" s="142"/>
      <c r="DZU68" s="143"/>
      <c r="DZV68" s="144"/>
      <c r="DZW68" s="144"/>
      <c r="DZX68" s="143"/>
      <c r="DZY68" s="145"/>
      <c r="DZZ68" s="143"/>
      <c r="EAA68" s="145"/>
      <c r="EAB68" s="146"/>
      <c r="EAC68" s="147"/>
      <c r="EAD68"/>
      <c r="EAE68" s="148"/>
      <c r="EAF68"/>
      <c r="EAG68" s="140"/>
      <c r="EAH68" s="149"/>
      <c r="EAI68"/>
      <c r="EAJ68" s="142"/>
      <c r="EAK68" s="143"/>
      <c r="EAL68" s="144"/>
      <c r="EAM68" s="144"/>
      <c r="EAN68" s="143"/>
      <c r="EAO68" s="145"/>
      <c r="EAP68" s="143"/>
      <c r="EAQ68" s="145"/>
      <c r="EAR68" s="146"/>
      <c r="EAS68" s="147"/>
      <c r="EAT68"/>
      <c r="EAU68" s="148"/>
      <c r="EAV68"/>
      <c r="EAW68" s="140"/>
      <c r="EAX68" s="149"/>
      <c r="EAY68"/>
      <c r="EAZ68" s="142"/>
      <c r="EBA68" s="143"/>
      <c r="EBB68" s="144"/>
      <c r="EBC68" s="144"/>
      <c r="EBD68" s="143"/>
      <c r="EBE68" s="145"/>
      <c r="EBF68" s="143"/>
      <c r="EBG68" s="145"/>
      <c r="EBH68" s="146"/>
      <c r="EBI68" s="147"/>
      <c r="EBJ68"/>
      <c r="EBK68" s="148"/>
      <c r="EBL68"/>
      <c r="EBM68" s="140"/>
      <c r="EBN68" s="149"/>
      <c r="EBO68"/>
      <c r="EBP68" s="142"/>
      <c r="EBQ68" s="143"/>
      <c r="EBR68" s="144"/>
      <c r="EBS68" s="144"/>
      <c r="EBT68" s="143"/>
      <c r="EBU68" s="145"/>
      <c r="EBV68" s="143"/>
      <c r="EBW68" s="145"/>
      <c r="EBX68" s="146"/>
      <c r="EBY68" s="147"/>
      <c r="EBZ68"/>
      <c r="ECA68" s="148"/>
      <c r="ECB68"/>
      <c r="ECC68" s="140"/>
      <c r="ECD68" s="149"/>
      <c r="ECE68"/>
      <c r="ECF68" s="142"/>
      <c r="ECG68" s="143"/>
      <c r="ECH68" s="144"/>
      <c r="ECI68" s="144"/>
      <c r="ECJ68" s="143"/>
      <c r="ECK68" s="145"/>
      <c r="ECL68" s="143"/>
      <c r="ECM68" s="145"/>
      <c r="ECN68" s="146"/>
      <c r="ECO68" s="147"/>
      <c r="ECP68"/>
      <c r="ECQ68" s="148"/>
      <c r="ECR68"/>
      <c r="ECS68" s="140"/>
      <c r="ECT68" s="149"/>
      <c r="ECU68"/>
      <c r="ECV68" s="142"/>
      <c r="ECW68" s="143"/>
      <c r="ECX68" s="144"/>
      <c r="ECY68" s="144"/>
      <c r="ECZ68" s="143"/>
      <c r="EDA68" s="145"/>
      <c r="EDB68" s="143"/>
      <c r="EDC68" s="145"/>
      <c r="EDD68" s="146"/>
      <c r="EDE68" s="147"/>
      <c r="EDF68"/>
      <c r="EDG68" s="148"/>
      <c r="EDH68"/>
      <c r="EDI68" s="140"/>
      <c r="EDJ68" s="149"/>
      <c r="EDK68"/>
      <c r="EDL68" s="142"/>
      <c r="EDM68" s="143"/>
      <c r="EDN68" s="144"/>
      <c r="EDO68" s="144"/>
      <c r="EDP68" s="143"/>
      <c r="EDQ68" s="145"/>
      <c r="EDR68" s="143"/>
      <c r="EDS68" s="145"/>
      <c r="EDT68" s="146"/>
      <c r="EDU68" s="147"/>
      <c r="EDV68"/>
      <c r="EDW68" s="148"/>
      <c r="EDX68"/>
      <c r="EDY68" s="140"/>
      <c r="EDZ68" s="149"/>
      <c r="EEA68"/>
      <c r="EEB68" s="142"/>
      <c r="EEC68" s="143"/>
      <c r="EED68" s="144"/>
      <c r="EEE68" s="144"/>
      <c r="EEF68" s="143"/>
      <c r="EEG68" s="145"/>
      <c r="EEH68" s="143"/>
      <c r="EEI68" s="145"/>
      <c r="EEJ68" s="146"/>
      <c r="EEK68" s="147"/>
      <c r="EEL68"/>
      <c r="EEM68" s="148"/>
      <c r="EEN68"/>
      <c r="EEO68" s="140"/>
      <c r="EEP68" s="149"/>
      <c r="EEQ68"/>
      <c r="EER68" s="142"/>
      <c r="EES68" s="143"/>
      <c r="EET68" s="144"/>
      <c r="EEU68" s="144"/>
      <c r="EEV68" s="143"/>
      <c r="EEW68" s="145"/>
      <c r="EEX68" s="143"/>
      <c r="EEY68" s="145"/>
      <c r="EEZ68" s="146"/>
      <c r="EFA68" s="147"/>
      <c r="EFB68"/>
      <c r="EFC68" s="148"/>
      <c r="EFD68"/>
      <c r="EFE68" s="140"/>
      <c r="EFF68" s="149"/>
      <c r="EFG68"/>
      <c r="EFH68" s="142"/>
      <c r="EFI68" s="143"/>
      <c r="EFJ68" s="144"/>
      <c r="EFK68" s="144"/>
      <c r="EFL68" s="143"/>
      <c r="EFM68" s="145"/>
      <c r="EFN68" s="143"/>
      <c r="EFO68" s="145"/>
      <c r="EFP68" s="146"/>
      <c r="EFQ68" s="147"/>
      <c r="EFR68"/>
      <c r="EFS68" s="148"/>
      <c r="EFT68"/>
      <c r="EFU68" s="140"/>
      <c r="EFV68" s="149"/>
      <c r="EFW68"/>
      <c r="EFX68" s="142"/>
      <c r="EFY68" s="143"/>
      <c r="EFZ68" s="144"/>
      <c r="EGA68" s="144"/>
      <c r="EGB68" s="143"/>
      <c r="EGC68" s="145"/>
      <c r="EGD68" s="143"/>
      <c r="EGE68" s="145"/>
      <c r="EGF68" s="146"/>
      <c r="EGG68" s="147"/>
      <c r="EGH68"/>
      <c r="EGI68" s="148"/>
      <c r="EGJ68"/>
      <c r="EGK68" s="140"/>
      <c r="EGL68" s="149"/>
      <c r="EGM68"/>
      <c r="EGN68" s="142"/>
      <c r="EGO68" s="143"/>
      <c r="EGP68" s="144"/>
      <c r="EGQ68" s="144"/>
      <c r="EGR68" s="143"/>
      <c r="EGS68" s="145"/>
      <c r="EGT68" s="143"/>
      <c r="EGU68" s="145"/>
      <c r="EGV68" s="146"/>
      <c r="EGW68" s="147"/>
      <c r="EGX68"/>
      <c r="EGY68" s="148"/>
      <c r="EGZ68"/>
      <c r="EHA68" s="140"/>
      <c r="EHB68" s="149"/>
      <c r="EHC68"/>
      <c r="EHD68" s="142"/>
      <c r="EHE68" s="143"/>
      <c r="EHF68" s="144"/>
      <c r="EHG68" s="144"/>
      <c r="EHH68" s="143"/>
      <c r="EHI68" s="145"/>
      <c r="EHJ68" s="143"/>
      <c r="EHK68" s="145"/>
      <c r="EHL68" s="146"/>
      <c r="EHM68" s="147"/>
      <c r="EHN68"/>
      <c r="EHO68" s="148"/>
      <c r="EHP68"/>
      <c r="EHQ68" s="140"/>
      <c r="EHR68" s="149"/>
      <c r="EHS68"/>
      <c r="EHT68" s="142"/>
      <c r="EHU68" s="143"/>
      <c r="EHV68" s="144"/>
      <c r="EHW68" s="144"/>
      <c r="EHX68" s="143"/>
      <c r="EHY68" s="145"/>
      <c r="EHZ68" s="143"/>
      <c r="EIA68" s="145"/>
      <c r="EIB68" s="146"/>
      <c r="EIC68" s="147"/>
      <c r="EID68"/>
      <c r="EIE68" s="148"/>
      <c r="EIF68"/>
      <c r="EIG68" s="140"/>
      <c r="EIH68" s="149"/>
      <c r="EII68"/>
      <c r="EIJ68" s="142"/>
      <c r="EIK68" s="143"/>
      <c r="EIL68" s="144"/>
      <c r="EIM68" s="144"/>
      <c r="EIN68" s="143"/>
      <c r="EIO68" s="145"/>
      <c r="EIP68" s="143"/>
      <c r="EIQ68" s="145"/>
      <c r="EIR68" s="146"/>
      <c r="EIS68" s="147"/>
      <c r="EIT68"/>
      <c r="EIU68" s="148"/>
      <c r="EIV68"/>
      <c r="EIW68" s="140"/>
      <c r="EIX68" s="149"/>
      <c r="EIY68"/>
      <c r="EIZ68" s="142"/>
      <c r="EJA68" s="143"/>
      <c r="EJB68" s="144"/>
      <c r="EJC68" s="144"/>
      <c r="EJD68" s="143"/>
      <c r="EJE68" s="145"/>
      <c r="EJF68" s="143"/>
      <c r="EJG68" s="145"/>
      <c r="EJH68" s="146"/>
      <c r="EJI68" s="147"/>
      <c r="EJJ68"/>
      <c r="EJK68" s="148"/>
      <c r="EJL68"/>
      <c r="EJM68" s="140"/>
      <c r="EJN68" s="149"/>
      <c r="EJO68"/>
      <c r="EJP68" s="142"/>
      <c r="EJQ68" s="143"/>
      <c r="EJR68" s="144"/>
      <c r="EJS68" s="144"/>
      <c r="EJT68" s="143"/>
      <c r="EJU68" s="145"/>
      <c r="EJV68" s="143"/>
      <c r="EJW68" s="145"/>
      <c r="EJX68" s="146"/>
      <c r="EJY68" s="147"/>
      <c r="EJZ68"/>
      <c r="EKA68" s="148"/>
      <c r="EKB68"/>
      <c r="EKC68" s="140"/>
      <c r="EKD68" s="149"/>
      <c r="EKE68"/>
      <c r="EKF68" s="142"/>
      <c r="EKG68" s="143"/>
      <c r="EKH68" s="144"/>
      <c r="EKI68" s="144"/>
      <c r="EKJ68" s="143"/>
      <c r="EKK68" s="145"/>
      <c r="EKL68" s="143"/>
      <c r="EKM68" s="145"/>
      <c r="EKN68" s="146"/>
      <c r="EKO68" s="147"/>
      <c r="EKP68"/>
      <c r="EKQ68" s="148"/>
      <c r="EKR68"/>
      <c r="EKS68" s="140"/>
      <c r="EKT68" s="149"/>
      <c r="EKU68"/>
      <c r="EKV68" s="142"/>
      <c r="EKW68" s="143"/>
      <c r="EKX68" s="144"/>
      <c r="EKY68" s="144"/>
      <c r="EKZ68" s="143"/>
      <c r="ELA68" s="145"/>
      <c r="ELB68" s="143"/>
      <c r="ELC68" s="145"/>
      <c r="ELD68" s="146"/>
      <c r="ELE68" s="147"/>
      <c r="ELF68"/>
      <c r="ELG68" s="148"/>
      <c r="ELH68"/>
      <c r="ELI68" s="140"/>
      <c r="ELJ68" s="149"/>
      <c r="ELK68"/>
      <c r="ELL68" s="142"/>
      <c r="ELM68" s="143"/>
      <c r="ELN68" s="144"/>
      <c r="ELO68" s="144"/>
      <c r="ELP68" s="143"/>
      <c r="ELQ68" s="145"/>
      <c r="ELR68" s="143"/>
      <c r="ELS68" s="145"/>
      <c r="ELT68" s="146"/>
      <c r="ELU68" s="147"/>
      <c r="ELV68"/>
      <c r="ELW68" s="148"/>
      <c r="ELX68"/>
      <c r="ELY68" s="140"/>
      <c r="ELZ68" s="149"/>
      <c r="EMA68"/>
      <c r="EMB68" s="142"/>
      <c r="EMC68" s="143"/>
      <c r="EMD68" s="144"/>
      <c r="EME68" s="144"/>
      <c r="EMF68" s="143"/>
      <c r="EMG68" s="145"/>
      <c r="EMH68" s="143"/>
      <c r="EMI68" s="145"/>
      <c r="EMJ68" s="146"/>
      <c r="EMK68" s="147"/>
      <c r="EML68"/>
      <c r="EMM68" s="148"/>
      <c r="EMN68"/>
      <c r="EMO68" s="140"/>
      <c r="EMP68" s="149"/>
      <c r="EMQ68"/>
      <c r="EMR68" s="142"/>
      <c r="EMS68" s="143"/>
      <c r="EMT68" s="144"/>
      <c r="EMU68" s="144"/>
      <c r="EMV68" s="143"/>
      <c r="EMW68" s="145"/>
      <c r="EMX68" s="143"/>
      <c r="EMY68" s="145"/>
      <c r="EMZ68" s="146"/>
      <c r="ENA68" s="147"/>
      <c r="ENB68"/>
      <c r="ENC68" s="148"/>
      <c r="END68"/>
      <c r="ENE68" s="140"/>
      <c r="ENF68" s="149"/>
      <c r="ENG68"/>
      <c r="ENH68" s="142"/>
      <c r="ENI68" s="143"/>
      <c r="ENJ68" s="144"/>
      <c r="ENK68" s="144"/>
      <c r="ENL68" s="143"/>
      <c r="ENM68" s="145"/>
      <c r="ENN68" s="143"/>
      <c r="ENO68" s="145"/>
      <c r="ENP68" s="146"/>
      <c r="ENQ68" s="147"/>
      <c r="ENR68"/>
      <c r="ENS68" s="148"/>
      <c r="ENT68"/>
      <c r="ENU68" s="140"/>
      <c r="ENV68" s="149"/>
      <c r="ENW68"/>
      <c r="ENX68" s="142"/>
      <c r="ENY68" s="143"/>
      <c r="ENZ68" s="144"/>
      <c r="EOA68" s="144"/>
      <c r="EOB68" s="143"/>
      <c r="EOC68" s="145"/>
      <c r="EOD68" s="143"/>
      <c r="EOE68" s="145"/>
      <c r="EOF68" s="146"/>
      <c r="EOG68" s="147"/>
      <c r="EOH68"/>
      <c r="EOI68" s="148"/>
      <c r="EOJ68"/>
      <c r="EOK68" s="140"/>
      <c r="EOL68" s="149"/>
      <c r="EOM68"/>
      <c r="EON68" s="142"/>
      <c r="EOO68" s="143"/>
      <c r="EOP68" s="144"/>
      <c r="EOQ68" s="144"/>
      <c r="EOR68" s="143"/>
      <c r="EOS68" s="145"/>
      <c r="EOT68" s="143"/>
      <c r="EOU68" s="145"/>
      <c r="EOV68" s="146"/>
      <c r="EOW68" s="147"/>
      <c r="EOX68"/>
      <c r="EOY68" s="148"/>
      <c r="EOZ68"/>
      <c r="EPA68" s="140"/>
      <c r="EPB68" s="149"/>
      <c r="EPC68"/>
      <c r="EPD68" s="142"/>
      <c r="EPE68" s="143"/>
      <c r="EPF68" s="144"/>
      <c r="EPG68" s="144"/>
      <c r="EPH68" s="143"/>
      <c r="EPI68" s="145"/>
      <c r="EPJ68" s="143"/>
      <c r="EPK68" s="145"/>
      <c r="EPL68" s="146"/>
      <c r="EPM68" s="147"/>
      <c r="EPN68"/>
      <c r="EPO68" s="148"/>
      <c r="EPP68"/>
      <c r="EPQ68" s="140"/>
      <c r="EPR68" s="149"/>
      <c r="EPS68"/>
      <c r="EPT68" s="142"/>
      <c r="EPU68" s="143"/>
      <c r="EPV68" s="144"/>
      <c r="EPW68" s="144"/>
      <c r="EPX68" s="143"/>
      <c r="EPY68" s="145"/>
      <c r="EPZ68" s="143"/>
      <c r="EQA68" s="145"/>
      <c r="EQB68" s="146"/>
      <c r="EQC68" s="147"/>
      <c r="EQD68"/>
      <c r="EQE68" s="148"/>
      <c r="EQF68"/>
      <c r="EQG68" s="140"/>
      <c r="EQH68" s="149"/>
      <c r="EQI68"/>
      <c r="EQJ68" s="142"/>
      <c r="EQK68" s="143"/>
      <c r="EQL68" s="144"/>
      <c r="EQM68" s="144"/>
      <c r="EQN68" s="143"/>
      <c r="EQO68" s="145"/>
      <c r="EQP68" s="143"/>
      <c r="EQQ68" s="145"/>
      <c r="EQR68" s="146"/>
      <c r="EQS68" s="147"/>
      <c r="EQT68"/>
      <c r="EQU68" s="148"/>
      <c r="EQV68"/>
      <c r="EQW68" s="140"/>
      <c r="EQX68" s="149"/>
      <c r="EQY68"/>
      <c r="EQZ68" s="142"/>
      <c r="ERA68" s="143"/>
      <c r="ERB68" s="144"/>
      <c r="ERC68" s="144"/>
      <c r="ERD68" s="143"/>
      <c r="ERE68" s="145"/>
      <c r="ERF68" s="143"/>
      <c r="ERG68" s="145"/>
      <c r="ERH68" s="146"/>
      <c r="ERI68" s="147"/>
      <c r="ERJ68"/>
      <c r="ERK68" s="148"/>
      <c r="ERL68"/>
      <c r="ERM68" s="140"/>
      <c r="ERN68" s="149"/>
      <c r="ERO68"/>
      <c r="ERP68" s="142"/>
      <c r="ERQ68" s="143"/>
      <c r="ERR68" s="144"/>
      <c r="ERS68" s="144"/>
      <c r="ERT68" s="143"/>
      <c r="ERU68" s="145"/>
      <c r="ERV68" s="143"/>
      <c r="ERW68" s="145"/>
      <c r="ERX68" s="146"/>
      <c r="ERY68" s="147"/>
      <c r="ERZ68"/>
      <c r="ESA68" s="148"/>
      <c r="ESB68"/>
      <c r="ESC68" s="140"/>
      <c r="ESD68" s="149"/>
      <c r="ESE68"/>
      <c r="ESF68" s="142"/>
      <c r="ESG68" s="143"/>
      <c r="ESH68" s="144"/>
      <c r="ESI68" s="144"/>
      <c r="ESJ68" s="143"/>
      <c r="ESK68" s="145"/>
      <c r="ESL68" s="143"/>
      <c r="ESM68" s="145"/>
      <c r="ESN68" s="146"/>
      <c r="ESO68" s="147"/>
      <c r="ESP68"/>
      <c r="ESQ68" s="148"/>
      <c r="ESR68"/>
      <c r="ESS68" s="140"/>
      <c r="EST68" s="149"/>
      <c r="ESU68"/>
      <c r="ESV68" s="142"/>
      <c r="ESW68" s="143"/>
      <c r="ESX68" s="144"/>
      <c r="ESY68" s="144"/>
      <c r="ESZ68" s="143"/>
      <c r="ETA68" s="145"/>
      <c r="ETB68" s="143"/>
      <c r="ETC68" s="145"/>
      <c r="ETD68" s="146"/>
      <c r="ETE68" s="147"/>
      <c r="ETF68"/>
      <c r="ETG68" s="148"/>
      <c r="ETH68"/>
      <c r="ETI68" s="140"/>
      <c r="ETJ68" s="149"/>
      <c r="ETK68"/>
      <c r="ETL68" s="142"/>
      <c r="ETM68" s="143"/>
      <c r="ETN68" s="144"/>
      <c r="ETO68" s="144"/>
      <c r="ETP68" s="143"/>
      <c r="ETQ68" s="145"/>
      <c r="ETR68" s="143"/>
      <c r="ETS68" s="145"/>
      <c r="ETT68" s="146"/>
      <c r="ETU68" s="147"/>
      <c r="ETV68"/>
      <c r="ETW68" s="148"/>
      <c r="ETX68"/>
      <c r="ETY68" s="140"/>
      <c r="ETZ68" s="149"/>
      <c r="EUA68"/>
      <c r="EUB68" s="142"/>
      <c r="EUC68" s="143"/>
      <c r="EUD68" s="144"/>
      <c r="EUE68" s="144"/>
      <c r="EUF68" s="143"/>
      <c r="EUG68" s="145"/>
      <c r="EUH68" s="143"/>
      <c r="EUI68" s="145"/>
      <c r="EUJ68" s="146"/>
      <c r="EUK68" s="147"/>
      <c r="EUL68"/>
      <c r="EUM68" s="148"/>
      <c r="EUN68"/>
      <c r="EUO68" s="140"/>
      <c r="EUP68" s="149"/>
      <c r="EUQ68"/>
      <c r="EUR68" s="142"/>
      <c r="EUS68" s="143"/>
      <c r="EUT68" s="144"/>
      <c r="EUU68" s="144"/>
      <c r="EUV68" s="143"/>
      <c r="EUW68" s="145"/>
      <c r="EUX68" s="143"/>
      <c r="EUY68" s="145"/>
      <c r="EUZ68" s="146"/>
      <c r="EVA68" s="147"/>
      <c r="EVB68"/>
      <c r="EVC68" s="148"/>
      <c r="EVD68"/>
      <c r="EVE68" s="140"/>
      <c r="EVF68" s="149"/>
      <c r="EVG68"/>
      <c r="EVH68" s="142"/>
      <c r="EVI68" s="143"/>
      <c r="EVJ68" s="144"/>
      <c r="EVK68" s="144"/>
      <c r="EVL68" s="143"/>
      <c r="EVM68" s="145"/>
      <c r="EVN68" s="143"/>
      <c r="EVO68" s="145"/>
      <c r="EVP68" s="146"/>
      <c r="EVQ68" s="147"/>
      <c r="EVR68"/>
      <c r="EVS68" s="148"/>
      <c r="EVT68"/>
      <c r="EVU68" s="140"/>
      <c r="EVV68" s="149"/>
      <c r="EVW68"/>
      <c r="EVX68" s="142"/>
      <c r="EVY68" s="143"/>
      <c r="EVZ68" s="144"/>
      <c r="EWA68" s="144"/>
      <c r="EWB68" s="143"/>
      <c r="EWC68" s="145"/>
      <c r="EWD68" s="143"/>
      <c r="EWE68" s="145"/>
      <c r="EWF68" s="146"/>
      <c r="EWG68" s="147"/>
      <c r="EWH68"/>
      <c r="EWI68" s="148"/>
      <c r="EWJ68"/>
      <c r="EWK68" s="140"/>
      <c r="EWL68" s="149"/>
      <c r="EWM68"/>
      <c r="EWN68" s="142"/>
      <c r="EWO68" s="143"/>
      <c r="EWP68" s="144"/>
      <c r="EWQ68" s="144"/>
      <c r="EWR68" s="143"/>
      <c r="EWS68" s="145"/>
      <c r="EWT68" s="143"/>
      <c r="EWU68" s="145"/>
      <c r="EWV68" s="146"/>
      <c r="EWW68" s="147"/>
      <c r="EWX68"/>
      <c r="EWY68" s="148"/>
      <c r="EWZ68"/>
      <c r="EXA68" s="140"/>
      <c r="EXB68" s="149"/>
      <c r="EXC68"/>
      <c r="EXD68" s="142"/>
      <c r="EXE68" s="143"/>
      <c r="EXF68" s="144"/>
      <c r="EXG68" s="144"/>
      <c r="EXH68" s="143"/>
      <c r="EXI68" s="145"/>
      <c r="EXJ68" s="143"/>
      <c r="EXK68" s="145"/>
      <c r="EXL68" s="146"/>
      <c r="EXM68" s="147"/>
      <c r="EXN68"/>
      <c r="EXO68" s="148"/>
      <c r="EXP68"/>
      <c r="EXQ68" s="140"/>
      <c r="EXR68" s="149"/>
      <c r="EXS68"/>
      <c r="EXT68" s="142"/>
      <c r="EXU68" s="143"/>
      <c r="EXV68" s="144"/>
      <c r="EXW68" s="144"/>
      <c r="EXX68" s="143"/>
      <c r="EXY68" s="145"/>
      <c r="EXZ68" s="143"/>
      <c r="EYA68" s="145"/>
      <c r="EYB68" s="146"/>
      <c r="EYC68" s="147"/>
      <c r="EYD68"/>
      <c r="EYE68" s="148"/>
      <c r="EYF68"/>
      <c r="EYG68" s="140"/>
      <c r="EYH68" s="149"/>
      <c r="EYI68"/>
      <c r="EYJ68" s="142"/>
      <c r="EYK68" s="143"/>
      <c r="EYL68" s="144"/>
      <c r="EYM68" s="144"/>
      <c r="EYN68" s="143"/>
      <c r="EYO68" s="145"/>
      <c r="EYP68" s="143"/>
      <c r="EYQ68" s="145"/>
      <c r="EYR68" s="146"/>
      <c r="EYS68" s="147"/>
      <c r="EYT68"/>
      <c r="EYU68" s="148"/>
      <c r="EYV68"/>
      <c r="EYW68" s="140"/>
      <c r="EYX68" s="149"/>
      <c r="EYY68"/>
      <c r="EYZ68" s="142"/>
      <c r="EZA68" s="143"/>
      <c r="EZB68" s="144"/>
      <c r="EZC68" s="144"/>
      <c r="EZD68" s="143"/>
      <c r="EZE68" s="145"/>
      <c r="EZF68" s="143"/>
      <c r="EZG68" s="145"/>
      <c r="EZH68" s="146"/>
      <c r="EZI68" s="147"/>
      <c r="EZJ68"/>
      <c r="EZK68" s="148"/>
      <c r="EZL68"/>
      <c r="EZM68" s="140"/>
      <c r="EZN68" s="149"/>
      <c r="EZO68"/>
      <c r="EZP68" s="142"/>
      <c r="EZQ68" s="143"/>
      <c r="EZR68" s="144"/>
      <c r="EZS68" s="144"/>
      <c r="EZT68" s="143"/>
      <c r="EZU68" s="145"/>
      <c r="EZV68" s="143"/>
      <c r="EZW68" s="145"/>
      <c r="EZX68" s="146"/>
      <c r="EZY68" s="147"/>
      <c r="EZZ68"/>
      <c r="FAA68" s="148"/>
      <c r="FAB68"/>
      <c r="FAC68" s="140"/>
      <c r="FAD68" s="149"/>
      <c r="FAE68"/>
      <c r="FAF68" s="142"/>
      <c r="FAG68" s="143"/>
      <c r="FAH68" s="144"/>
      <c r="FAI68" s="144"/>
      <c r="FAJ68" s="143"/>
      <c r="FAK68" s="145"/>
      <c r="FAL68" s="143"/>
      <c r="FAM68" s="145"/>
      <c r="FAN68" s="146"/>
      <c r="FAO68" s="147"/>
      <c r="FAP68"/>
      <c r="FAQ68" s="148"/>
      <c r="FAR68"/>
      <c r="FAS68" s="140"/>
      <c r="FAT68" s="149"/>
      <c r="FAU68"/>
      <c r="FAV68" s="142"/>
      <c r="FAW68" s="143"/>
      <c r="FAX68" s="144"/>
      <c r="FAY68" s="144"/>
      <c r="FAZ68" s="143"/>
      <c r="FBA68" s="145"/>
      <c r="FBB68" s="143"/>
      <c r="FBC68" s="145"/>
      <c r="FBD68" s="146"/>
      <c r="FBE68" s="147"/>
      <c r="FBF68"/>
      <c r="FBG68" s="148"/>
      <c r="FBH68"/>
      <c r="FBI68" s="140"/>
      <c r="FBJ68" s="149"/>
      <c r="FBK68"/>
      <c r="FBL68" s="142"/>
      <c r="FBM68" s="143"/>
      <c r="FBN68" s="144"/>
      <c r="FBO68" s="144"/>
      <c r="FBP68" s="143"/>
      <c r="FBQ68" s="145"/>
      <c r="FBR68" s="143"/>
      <c r="FBS68" s="145"/>
      <c r="FBT68" s="146"/>
      <c r="FBU68" s="147"/>
      <c r="FBV68"/>
      <c r="FBW68" s="148"/>
      <c r="FBX68"/>
      <c r="FBY68" s="140"/>
      <c r="FBZ68" s="149"/>
      <c r="FCA68"/>
      <c r="FCB68" s="142"/>
      <c r="FCC68" s="143"/>
      <c r="FCD68" s="144"/>
      <c r="FCE68" s="144"/>
      <c r="FCF68" s="143"/>
      <c r="FCG68" s="145"/>
      <c r="FCH68" s="143"/>
      <c r="FCI68" s="145"/>
      <c r="FCJ68" s="146"/>
      <c r="FCK68" s="147"/>
      <c r="FCL68"/>
      <c r="FCM68" s="148"/>
      <c r="FCN68"/>
      <c r="FCO68" s="140"/>
      <c r="FCP68" s="149"/>
      <c r="FCQ68"/>
      <c r="FCR68" s="142"/>
      <c r="FCS68" s="143"/>
      <c r="FCT68" s="144"/>
      <c r="FCU68" s="144"/>
      <c r="FCV68" s="143"/>
      <c r="FCW68" s="145"/>
      <c r="FCX68" s="143"/>
      <c r="FCY68" s="145"/>
      <c r="FCZ68" s="146"/>
      <c r="FDA68" s="147"/>
      <c r="FDB68"/>
      <c r="FDC68" s="148"/>
      <c r="FDD68"/>
      <c r="FDE68" s="140"/>
      <c r="FDF68" s="149"/>
      <c r="FDG68"/>
      <c r="FDH68" s="142"/>
      <c r="FDI68" s="143"/>
      <c r="FDJ68" s="144"/>
      <c r="FDK68" s="144"/>
      <c r="FDL68" s="143"/>
      <c r="FDM68" s="145"/>
      <c r="FDN68" s="143"/>
      <c r="FDO68" s="145"/>
      <c r="FDP68" s="146"/>
      <c r="FDQ68" s="147"/>
      <c r="FDR68"/>
      <c r="FDS68" s="148"/>
      <c r="FDT68"/>
      <c r="FDU68" s="140"/>
      <c r="FDV68" s="149"/>
      <c r="FDW68"/>
      <c r="FDX68" s="142"/>
      <c r="FDY68" s="143"/>
      <c r="FDZ68" s="144"/>
      <c r="FEA68" s="144"/>
      <c r="FEB68" s="143"/>
      <c r="FEC68" s="145"/>
      <c r="FED68" s="143"/>
      <c r="FEE68" s="145"/>
      <c r="FEF68" s="146"/>
      <c r="FEG68" s="147"/>
      <c r="FEH68"/>
      <c r="FEI68" s="148"/>
      <c r="FEJ68"/>
      <c r="FEK68" s="140"/>
      <c r="FEL68" s="149"/>
      <c r="FEM68"/>
      <c r="FEN68" s="142"/>
      <c r="FEO68" s="143"/>
      <c r="FEP68" s="144"/>
      <c r="FEQ68" s="144"/>
      <c r="FER68" s="143"/>
      <c r="FES68" s="145"/>
      <c r="FET68" s="143"/>
      <c r="FEU68" s="145"/>
      <c r="FEV68" s="146"/>
      <c r="FEW68" s="147"/>
      <c r="FEX68"/>
      <c r="FEY68" s="148"/>
      <c r="FEZ68"/>
      <c r="FFA68" s="140"/>
      <c r="FFB68" s="149"/>
      <c r="FFC68"/>
      <c r="FFD68" s="142"/>
      <c r="FFE68" s="143"/>
      <c r="FFF68" s="144"/>
      <c r="FFG68" s="144"/>
      <c r="FFH68" s="143"/>
      <c r="FFI68" s="145"/>
      <c r="FFJ68" s="143"/>
      <c r="FFK68" s="145"/>
      <c r="FFL68" s="146"/>
      <c r="FFM68" s="147"/>
      <c r="FFN68"/>
      <c r="FFO68" s="148"/>
      <c r="FFP68"/>
      <c r="FFQ68" s="140"/>
      <c r="FFR68" s="149"/>
      <c r="FFS68"/>
      <c r="FFT68" s="142"/>
      <c r="FFU68" s="143"/>
      <c r="FFV68" s="144"/>
      <c r="FFW68" s="144"/>
      <c r="FFX68" s="143"/>
      <c r="FFY68" s="145"/>
      <c r="FFZ68" s="143"/>
      <c r="FGA68" s="145"/>
      <c r="FGB68" s="146"/>
      <c r="FGC68" s="147"/>
      <c r="FGD68"/>
      <c r="FGE68" s="148"/>
      <c r="FGF68"/>
      <c r="FGG68" s="140"/>
      <c r="FGH68" s="149"/>
      <c r="FGI68"/>
      <c r="FGJ68" s="142"/>
      <c r="FGK68" s="143"/>
      <c r="FGL68" s="144"/>
      <c r="FGM68" s="144"/>
      <c r="FGN68" s="143"/>
      <c r="FGO68" s="145"/>
      <c r="FGP68" s="143"/>
      <c r="FGQ68" s="145"/>
      <c r="FGR68" s="146"/>
      <c r="FGS68" s="147"/>
      <c r="FGT68"/>
      <c r="FGU68" s="148"/>
      <c r="FGV68"/>
      <c r="FGW68" s="140"/>
      <c r="FGX68" s="149"/>
      <c r="FGY68"/>
      <c r="FGZ68" s="142"/>
      <c r="FHA68" s="143"/>
      <c r="FHB68" s="144"/>
      <c r="FHC68" s="144"/>
      <c r="FHD68" s="143"/>
      <c r="FHE68" s="145"/>
      <c r="FHF68" s="143"/>
      <c r="FHG68" s="145"/>
      <c r="FHH68" s="146"/>
      <c r="FHI68" s="147"/>
      <c r="FHJ68"/>
      <c r="FHK68" s="148"/>
      <c r="FHL68"/>
      <c r="FHM68" s="140"/>
      <c r="FHN68" s="149"/>
      <c r="FHO68"/>
      <c r="FHP68" s="142"/>
      <c r="FHQ68" s="143"/>
      <c r="FHR68" s="144"/>
      <c r="FHS68" s="144"/>
      <c r="FHT68" s="143"/>
      <c r="FHU68" s="145"/>
      <c r="FHV68" s="143"/>
      <c r="FHW68" s="145"/>
      <c r="FHX68" s="146"/>
      <c r="FHY68" s="147"/>
      <c r="FHZ68"/>
      <c r="FIA68" s="148"/>
      <c r="FIB68"/>
      <c r="FIC68" s="140"/>
      <c r="FID68" s="149"/>
      <c r="FIE68"/>
      <c r="FIF68" s="142"/>
      <c r="FIG68" s="143"/>
      <c r="FIH68" s="144"/>
      <c r="FII68" s="144"/>
      <c r="FIJ68" s="143"/>
      <c r="FIK68" s="145"/>
      <c r="FIL68" s="143"/>
      <c r="FIM68" s="145"/>
      <c r="FIN68" s="146"/>
      <c r="FIO68" s="147"/>
      <c r="FIP68"/>
      <c r="FIQ68" s="148"/>
      <c r="FIR68"/>
      <c r="FIS68" s="140"/>
      <c r="FIT68" s="149"/>
      <c r="FIU68"/>
      <c r="FIV68" s="142"/>
      <c r="FIW68" s="143"/>
      <c r="FIX68" s="144"/>
      <c r="FIY68" s="144"/>
      <c r="FIZ68" s="143"/>
      <c r="FJA68" s="145"/>
      <c r="FJB68" s="143"/>
      <c r="FJC68" s="145"/>
      <c r="FJD68" s="146"/>
      <c r="FJE68" s="147"/>
      <c r="FJF68"/>
      <c r="FJG68" s="148"/>
      <c r="FJH68"/>
      <c r="FJI68" s="140"/>
      <c r="FJJ68" s="149"/>
      <c r="FJK68"/>
      <c r="FJL68" s="142"/>
      <c r="FJM68" s="143"/>
      <c r="FJN68" s="144"/>
      <c r="FJO68" s="144"/>
      <c r="FJP68" s="143"/>
      <c r="FJQ68" s="145"/>
      <c r="FJR68" s="143"/>
      <c r="FJS68" s="145"/>
      <c r="FJT68" s="146"/>
      <c r="FJU68" s="147"/>
      <c r="FJV68"/>
      <c r="FJW68" s="148"/>
      <c r="FJX68"/>
      <c r="FJY68" s="140"/>
      <c r="FJZ68" s="149"/>
      <c r="FKA68"/>
      <c r="FKB68" s="142"/>
      <c r="FKC68" s="143"/>
      <c r="FKD68" s="144"/>
      <c r="FKE68" s="144"/>
      <c r="FKF68" s="143"/>
      <c r="FKG68" s="145"/>
      <c r="FKH68" s="143"/>
      <c r="FKI68" s="145"/>
      <c r="FKJ68" s="146"/>
      <c r="FKK68" s="147"/>
      <c r="FKL68"/>
      <c r="FKM68" s="148"/>
      <c r="FKN68"/>
      <c r="FKO68" s="140"/>
      <c r="FKP68" s="149"/>
      <c r="FKQ68"/>
      <c r="FKR68" s="142"/>
      <c r="FKS68" s="143"/>
      <c r="FKT68" s="144"/>
      <c r="FKU68" s="144"/>
      <c r="FKV68" s="143"/>
      <c r="FKW68" s="145"/>
      <c r="FKX68" s="143"/>
      <c r="FKY68" s="145"/>
      <c r="FKZ68" s="146"/>
      <c r="FLA68" s="147"/>
      <c r="FLB68"/>
      <c r="FLC68" s="148"/>
      <c r="FLD68"/>
      <c r="FLE68" s="140"/>
      <c r="FLF68" s="149"/>
      <c r="FLG68"/>
      <c r="FLH68" s="142"/>
      <c r="FLI68" s="143"/>
      <c r="FLJ68" s="144"/>
      <c r="FLK68" s="144"/>
      <c r="FLL68" s="143"/>
      <c r="FLM68" s="145"/>
      <c r="FLN68" s="143"/>
      <c r="FLO68" s="145"/>
      <c r="FLP68" s="146"/>
      <c r="FLQ68" s="147"/>
      <c r="FLR68"/>
      <c r="FLS68" s="148"/>
      <c r="FLT68"/>
      <c r="FLU68" s="140"/>
      <c r="FLV68" s="149"/>
      <c r="FLW68"/>
      <c r="FLX68" s="142"/>
      <c r="FLY68" s="143"/>
      <c r="FLZ68" s="144"/>
      <c r="FMA68" s="144"/>
      <c r="FMB68" s="143"/>
      <c r="FMC68" s="145"/>
      <c r="FMD68" s="143"/>
      <c r="FME68" s="145"/>
      <c r="FMF68" s="146"/>
      <c r="FMG68" s="147"/>
      <c r="FMH68"/>
      <c r="FMI68" s="148"/>
      <c r="FMJ68"/>
      <c r="FMK68" s="140"/>
      <c r="FML68" s="149"/>
      <c r="FMM68"/>
      <c r="FMN68" s="142"/>
      <c r="FMO68" s="143"/>
      <c r="FMP68" s="144"/>
      <c r="FMQ68" s="144"/>
      <c r="FMR68" s="143"/>
      <c r="FMS68" s="145"/>
      <c r="FMT68" s="143"/>
      <c r="FMU68" s="145"/>
      <c r="FMV68" s="146"/>
      <c r="FMW68" s="147"/>
      <c r="FMX68"/>
      <c r="FMY68" s="148"/>
      <c r="FMZ68"/>
      <c r="FNA68" s="140"/>
      <c r="FNB68" s="149"/>
      <c r="FNC68"/>
      <c r="FND68" s="142"/>
      <c r="FNE68" s="143"/>
      <c r="FNF68" s="144"/>
      <c r="FNG68" s="144"/>
      <c r="FNH68" s="143"/>
      <c r="FNI68" s="145"/>
      <c r="FNJ68" s="143"/>
      <c r="FNK68" s="145"/>
      <c r="FNL68" s="146"/>
      <c r="FNM68" s="147"/>
      <c r="FNN68"/>
      <c r="FNO68" s="148"/>
      <c r="FNP68"/>
      <c r="FNQ68" s="140"/>
      <c r="FNR68" s="149"/>
      <c r="FNS68"/>
      <c r="FNT68" s="142"/>
      <c r="FNU68" s="143"/>
      <c r="FNV68" s="144"/>
      <c r="FNW68" s="144"/>
      <c r="FNX68" s="143"/>
      <c r="FNY68" s="145"/>
      <c r="FNZ68" s="143"/>
      <c r="FOA68" s="145"/>
      <c r="FOB68" s="146"/>
      <c r="FOC68" s="147"/>
      <c r="FOD68"/>
      <c r="FOE68" s="148"/>
      <c r="FOF68"/>
      <c r="FOG68" s="140"/>
      <c r="FOH68" s="149"/>
      <c r="FOI68"/>
      <c r="FOJ68" s="142"/>
      <c r="FOK68" s="143"/>
      <c r="FOL68" s="144"/>
      <c r="FOM68" s="144"/>
      <c r="FON68" s="143"/>
      <c r="FOO68" s="145"/>
      <c r="FOP68" s="143"/>
      <c r="FOQ68" s="145"/>
      <c r="FOR68" s="146"/>
      <c r="FOS68" s="147"/>
      <c r="FOT68"/>
      <c r="FOU68" s="148"/>
      <c r="FOV68"/>
      <c r="FOW68" s="140"/>
      <c r="FOX68" s="149"/>
      <c r="FOY68"/>
      <c r="FOZ68" s="142"/>
      <c r="FPA68" s="143"/>
      <c r="FPB68" s="144"/>
      <c r="FPC68" s="144"/>
      <c r="FPD68" s="143"/>
      <c r="FPE68" s="145"/>
      <c r="FPF68" s="143"/>
      <c r="FPG68" s="145"/>
      <c r="FPH68" s="146"/>
      <c r="FPI68" s="147"/>
      <c r="FPJ68"/>
      <c r="FPK68" s="148"/>
      <c r="FPL68"/>
      <c r="FPM68" s="140"/>
      <c r="FPN68" s="149"/>
      <c r="FPO68"/>
      <c r="FPP68" s="142"/>
      <c r="FPQ68" s="143"/>
      <c r="FPR68" s="144"/>
      <c r="FPS68" s="144"/>
      <c r="FPT68" s="143"/>
      <c r="FPU68" s="145"/>
      <c r="FPV68" s="143"/>
      <c r="FPW68" s="145"/>
      <c r="FPX68" s="146"/>
      <c r="FPY68" s="147"/>
      <c r="FPZ68"/>
      <c r="FQA68" s="148"/>
      <c r="FQB68"/>
      <c r="FQC68" s="140"/>
      <c r="FQD68" s="149"/>
      <c r="FQE68"/>
      <c r="FQF68" s="142"/>
      <c r="FQG68" s="143"/>
      <c r="FQH68" s="144"/>
      <c r="FQI68" s="144"/>
      <c r="FQJ68" s="143"/>
      <c r="FQK68" s="145"/>
      <c r="FQL68" s="143"/>
      <c r="FQM68" s="145"/>
      <c r="FQN68" s="146"/>
      <c r="FQO68" s="147"/>
      <c r="FQP68"/>
      <c r="FQQ68" s="148"/>
      <c r="FQR68"/>
      <c r="FQS68" s="140"/>
      <c r="FQT68" s="149"/>
      <c r="FQU68"/>
      <c r="FQV68" s="142"/>
      <c r="FQW68" s="143"/>
      <c r="FQX68" s="144"/>
      <c r="FQY68" s="144"/>
      <c r="FQZ68" s="143"/>
      <c r="FRA68" s="145"/>
      <c r="FRB68" s="143"/>
      <c r="FRC68" s="145"/>
      <c r="FRD68" s="146"/>
      <c r="FRE68" s="147"/>
      <c r="FRF68"/>
      <c r="FRG68" s="148"/>
      <c r="FRH68"/>
      <c r="FRI68" s="140"/>
      <c r="FRJ68" s="149"/>
      <c r="FRK68"/>
      <c r="FRL68" s="142"/>
      <c r="FRM68" s="143"/>
      <c r="FRN68" s="144"/>
      <c r="FRO68" s="144"/>
      <c r="FRP68" s="143"/>
      <c r="FRQ68" s="145"/>
      <c r="FRR68" s="143"/>
      <c r="FRS68" s="145"/>
      <c r="FRT68" s="146"/>
      <c r="FRU68" s="147"/>
      <c r="FRV68"/>
      <c r="FRW68" s="148"/>
      <c r="FRX68"/>
      <c r="FRY68" s="140"/>
      <c r="FRZ68" s="149"/>
      <c r="FSA68"/>
      <c r="FSB68" s="142"/>
      <c r="FSC68" s="143"/>
      <c r="FSD68" s="144"/>
      <c r="FSE68" s="144"/>
      <c r="FSF68" s="143"/>
      <c r="FSG68" s="145"/>
      <c r="FSH68" s="143"/>
      <c r="FSI68" s="145"/>
      <c r="FSJ68" s="146"/>
      <c r="FSK68" s="147"/>
      <c r="FSL68"/>
      <c r="FSM68" s="148"/>
      <c r="FSN68"/>
      <c r="FSO68" s="140"/>
      <c r="FSP68" s="149"/>
      <c r="FSQ68"/>
      <c r="FSR68" s="142"/>
      <c r="FSS68" s="143"/>
      <c r="FST68" s="144"/>
      <c r="FSU68" s="144"/>
      <c r="FSV68" s="143"/>
      <c r="FSW68" s="145"/>
      <c r="FSX68" s="143"/>
      <c r="FSY68" s="145"/>
      <c r="FSZ68" s="146"/>
      <c r="FTA68" s="147"/>
      <c r="FTB68"/>
      <c r="FTC68" s="148"/>
      <c r="FTD68"/>
      <c r="FTE68" s="140"/>
      <c r="FTF68" s="149"/>
      <c r="FTG68"/>
      <c r="FTH68" s="142"/>
      <c r="FTI68" s="143"/>
      <c r="FTJ68" s="144"/>
      <c r="FTK68" s="144"/>
      <c r="FTL68" s="143"/>
      <c r="FTM68" s="145"/>
      <c r="FTN68" s="143"/>
      <c r="FTO68" s="145"/>
      <c r="FTP68" s="146"/>
      <c r="FTQ68" s="147"/>
      <c r="FTR68"/>
      <c r="FTS68" s="148"/>
      <c r="FTT68"/>
      <c r="FTU68" s="140"/>
      <c r="FTV68" s="149"/>
      <c r="FTW68"/>
      <c r="FTX68" s="142"/>
      <c r="FTY68" s="143"/>
      <c r="FTZ68" s="144"/>
      <c r="FUA68" s="144"/>
      <c r="FUB68" s="143"/>
      <c r="FUC68" s="145"/>
      <c r="FUD68" s="143"/>
      <c r="FUE68" s="145"/>
      <c r="FUF68" s="146"/>
      <c r="FUG68" s="147"/>
      <c r="FUH68"/>
      <c r="FUI68" s="148"/>
      <c r="FUJ68"/>
      <c r="FUK68" s="140"/>
      <c r="FUL68" s="149"/>
      <c r="FUM68"/>
      <c r="FUN68" s="142"/>
      <c r="FUO68" s="143"/>
      <c r="FUP68" s="144"/>
      <c r="FUQ68" s="144"/>
      <c r="FUR68" s="143"/>
      <c r="FUS68" s="145"/>
      <c r="FUT68" s="143"/>
      <c r="FUU68" s="145"/>
      <c r="FUV68" s="146"/>
      <c r="FUW68" s="147"/>
      <c r="FUX68"/>
      <c r="FUY68" s="148"/>
      <c r="FUZ68"/>
      <c r="FVA68" s="140"/>
      <c r="FVB68" s="149"/>
      <c r="FVC68"/>
      <c r="FVD68" s="142"/>
      <c r="FVE68" s="143"/>
      <c r="FVF68" s="144"/>
      <c r="FVG68" s="144"/>
      <c r="FVH68" s="143"/>
      <c r="FVI68" s="145"/>
      <c r="FVJ68" s="143"/>
      <c r="FVK68" s="145"/>
      <c r="FVL68" s="146"/>
      <c r="FVM68" s="147"/>
      <c r="FVN68"/>
      <c r="FVO68" s="148"/>
      <c r="FVP68"/>
      <c r="FVQ68" s="140"/>
      <c r="FVR68" s="149"/>
      <c r="FVS68"/>
      <c r="FVT68" s="142"/>
      <c r="FVU68" s="143"/>
      <c r="FVV68" s="144"/>
      <c r="FVW68" s="144"/>
      <c r="FVX68" s="143"/>
      <c r="FVY68" s="145"/>
      <c r="FVZ68" s="143"/>
      <c r="FWA68" s="145"/>
      <c r="FWB68" s="146"/>
      <c r="FWC68" s="147"/>
      <c r="FWD68"/>
      <c r="FWE68" s="148"/>
      <c r="FWF68"/>
      <c r="FWG68" s="140"/>
      <c r="FWH68" s="149"/>
      <c r="FWI68"/>
      <c r="FWJ68" s="142"/>
      <c r="FWK68" s="143"/>
      <c r="FWL68" s="144"/>
      <c r="FWM68" s="144"/>
      <c r="FWN68" s="143"/>
      <c r="FWO68" s="145"/>
      <c r="FWP68" s="143"/>
      <c r="FWQ68" s="145"/>
      <c r="FWR68" s="146"/>
      <c r="FWS68" s="147"/>
      <c r="FWT68"/>
      <c r="FWU68" s="148"/>
      <c r="FWV68"/>
      <c r="FWW68" s="140"/>
      <c r="FWX68" s="149"/>
      <c r="FWY68"/>
      <c r="FWZ68" s="142"/>
      <c r="FXA68" s="143"/>
      <c r="FXB68" s="144"/>
      <c r="FXC68" s="144"/>
      <c r="FXD68" s="143"/>
      <c r="FXE68" s="145"/>
      <c r="FXF68" s="143"/>
      <c r="FXG68" s="145"/>
      <c r="FXH68" s="146"/>
      <c r="FXI68" s="147"/>
      <c r="FXJ68"/>
      <c r="FXK68" s="148"/>
      <c r="FXL68"/>
      <c r="FXM68" s="140"/>
      <c r="FXN68" s="149"/>
      <c r="FXO68"/>
      <c r="FXP68" s="142"/>
      <c r="FXQ68" s="143"/>
      <c r="FXR68" s="144"/>
      <c r="FXS68" s="144"/>
      <c r="FXT68" s="143"/>
      <c r="FXU68" s="145"/>
      <c r="FXV68" s="143"/>
      <c r="FXW68" s="145"/>
      <c r="FXX68" s="146"/>
      <c r="FXY68" s="147"/>
      <c r="FXZ68"/>
      <c r="FYA68" s="148"/>
      <c r="FYB68"/>
      <c r="FYC68" s="140"/>
      <c r="FYD68" s="149"/>
      <c r="FYE68"/>
      <c r="FYF68" s="142"/>
      <c r="FYG68" s="143"/>
      <c r="FYH68" s="144"/>
      <c r="FYI68" s="144"/>
      <c r="FYJ68" s="143"/>
      <c r="FYK68" s="145"/>
      <c r="FYL68" s="143"/>
      <c r="FYM68" s="145"/>
      <c r="FYN68" s="146"/>
      <c r="FYO68" s="147"/>
      <c r="FYP68"/>
      <c r="FYQ68" s="148"/>
      <c r="FYR68"/>
      <c r="FYS68" s="140"/>
      <c r="FYT68" s="149"/>
      <c r="FYU68"/>
      <c r="FYV68" s="142"/>
      <c r="FYW68" s="143"/>
      <c r="FYX68" s="144"/>
      <c r="FYY68" s="144"/>
      <c r="FYZ68" s="143"/>
      <c r="FZA68" s="145"/>
      <c r="FZB68" s="143"/>
      <c r="FZC68" s="145"/>
      <c r="FZD68" s="146"/>
      <c r="FZE68" s="147"/>
      <c r="FZF68"/>
      <c r="FZG68" s="148"/>
      <c r="FZH68"/>
      <c r="FZI68" s="140"/>
      <c r="FZJ68" s="149"/>
      <c r="FZK68"/>
      <c r="FZL68" s="142"/>
      <c r="FZM68" s="143"/>
      <c r="FZN68" s="144"/>
      <c r="FZO68" s="144"/>
      <c r="FZP68" s="143"/>
      <c r="FZQ68" s="145"/>
      <c r="FZR68" s="143"/>
      <c r="FZS68" s="145"/>
      <c r="FZT68" s="146"/>
      <c r="FZU68" s="147"/>
      <c r="FZV68"/>
      <c r="FZW68" s="148"/>
      <c r="FZX68"/>
      <c r="FZY68" s="140"/>
      <c r="FZZ68" s="149"/>
      <c r="GAA68"/>
      <c r="GAB68" s="142"/>
      <c r="GAC68" s="143"/>
      <c r="GAD68" s="144"/>
      <c r="GAE68" s="144"/>
      <c r="GAF68" s="143"/>
      <c r="GAG68" s="145"/>
      <c r="GAH68" s="143"/>
      <c r="GAI68" s="145"/>
      <c r="GAJ68" s="146"/>
      <c r="GAK68" s="147"/>
      <c r="GAL68"/>
      <c r="GAM68" s="148"/>
      <c r="GAN68"/>
      <c r="GAO68" s="140"/>
      <c r="GAP68" s="149"/>
      <c r="GAQ68"/>
      <c r="GAR68" s="142"/>
      <c r="GAS68" s="143"/>
      <c r="GAT68" s="144"/>
      <c r="GAU68" s="144"/>
      <c r="GAV68" s="143"/>
      <c r="GAW68" s="145"/>
      <c r="GAX68" s="143"/>
      <c r="GAY68" s="145"/>
      <c r="GAZ68" s="146"/>
      <c r="GBA68" s="147"/>
      <c r="GBB68"/>
      <c r="GBC68" s="148"/>
      <c r="GBD68"/>
      <c r="GBE68" s="140"/>
      <c r="GBF68" s="149"/>
      <c r="GBG68"/>
      <c r="GBH68" s="142"/>
      <c r="GBI68" s="143"/>
      <c r="GBJ68" s="144"/>
      <c r="GBK68" s="144"/>
      <c r="GBL68" s="143"/>
      <c r="GBM68" s="145"/>
      <c r="GBN68" s="143"/>
      <c r="GBO68" s="145"/>
      <c r="GBP68" s="146"/>
      <c r="GBQ68" s="147"/>
      <c r="GBR68"/>
      <c r="GBS68" s="148"/>
      <c r="GBT68"/>
      <c r="GBU68" s="140"/>
      <c r="GBV68" s="149"/>
      <c r="GBW68"/>
      <c r="GBX68" s="142"/>
      <c r="GBY68" s="143"/>
      <c r="GBZ68" s="144"/>
      <c r="GCA68" s="144"/>
      <c r="GCB68" s="143"/>
      <c r="GCC68" s="145"/>
      <c r="GCD68" s="143"/>
      <c r="GCE68" s="145"/>
      <c r="GCF68" s="146"/>
      <c r="GCG68" s="147"/>
      <c r="GCH68"/>
      <c r="GCI68" s="148"/>
      <c r="GCJ68"/>
      <c r="GCK68" s="140"/>
      <c r="GCL68" s="149"/>
      <c r="GCM68"/>
      <c r="GCN68" s="142"/>
      <c r="GCO68" s="143"/>
      <c r="GCP68" s="144"/>
      <c r="GCQ68" s="144"/>
      <c r="GCR68" s="143"/>
      <c r="GCS68" s="145"/>
      <c r="GCT68" s="143"/>
      <c r="GCU68" s="145"/>
      <c r="GCV68" s="146"/>
      <c r="GCW68" s="147"/>
      <c r="GCX68"/>
      <c r="GCY68" s="148"/>
      <c r="GCZ68"/>
      <c r="GDA68" s="140"/>
      <c r="GDB68" s="149"/>
      <c r="GDC68"/>
      <c r="GDD68" s="142"/>
      <c r="GDE68" s="143"/>
      <c r="GDF68" s="144"/>
      <c r="GDG68" s="144"/>
      <c r="GDH68" s="143"/>
      <c r="GDI68" s="145"/>
      <c r="GDJ68" s="143"/>
      <c r="GDK68" s="145"/>
      <c r="GDL68" s="146"/>
      <c r="GDM68" s="147"/>
      <c r="GDN68"/>
      <c r="GDO68" s="148"/>
      <c r="GDP68"/>
      <c r="GDQ68" s="140"/>
      <c r="GDR68" s="149"/>
      <c r="GDS68"/>
      <c r="GDT68" s="142"/>
      <c r="GDU68" s="143"/>
      <c r="GDV68" s="144"/>
      <c r="GDW68" s="144"/>
      <c r="GDX68" s="143"/>
      <c r="GDY68" s="145"/>
      <c r="GDZ68" s="143"/>
      <c r="GEA68" s="145"/>
      <c r="GEB68" s="146"/>
      <c r="GEC68" s="147"/>
      <c r="GED68"/>
      <c r="GEE68" s="148"/>
      <c r="GEF68"/>
      <c r="GEG68" s="140"/>
      <c r="GEH68" s="149"/>
      <c r="GEI68"/>
      <c r="GEJ68" s="142"/>
      <c r="GEK68" s="143"/>
      <c r="GEL68" s="144"/>
      <c r="GEM68" s="144"/>
      <c r="GEN68" s="143"/>
      <c r="GEO68" s="145"/>
      <c r="GEP68" s="143"/>
      <c r="GEQ68" s="145"/>
      <c r="GER68" s="146"/>
      <c r="GES68" s="147"/>
      <c r="GET68"/>
      <c r="GEU68" s="148"/>
      <c r="GEV68"/>
      <c r="GEW68" s="140"/>
      <c r="GEX68" s="149"/>
      <c r="GEY68"/>
      <c r="GEZ68" s="142"/>
      <c r="GFA68" s="143"/>
      <c r="GFB68" s="144"/>
      <c r="GFC68" s="144"/>
      <c r="GFD68" s="143"/>
      <c r="GFE68" s="145"/>
      <c r="GFF68" s="143"/>
      <c r="GFG68" s="145"/>
      <c r="GFH68" s="146"/>
      <c r="GFI68" s="147"/>
      <c r="GFJ68"/>
      <c r="GFK68" s="148"/>
      <c r="GFL68"/>
      <c r="GFM68" s="140"/>
      <c r="GFN68" s="149"/>
      <c r="GFO68"/>
      <c r="GFP68" s="142"/>
      <c r="GFQ68" s="143"/>
      <c r="GFR68" s="144"/>
      <c r="GFS68" s="144"/>
      <c r="GFT68" s="143"/>
      <c r="GFU68" s="145"/>
      <c r="GFV68" s="143"/>
      <c r="GFW68" s="145"/>
      <c r="GFX68" s="146"/>
      <c r="GFY68" s="147"/>
      <c r="GFZ68"/>
      <c r="GGA68" s="148"/>
      <c r="GGB68"/>
      <c r="GGC68" s="140"/>
      <c r="GGD68" s="149"/>
      <c r="GGE68"/>
      <c r="GGF68" s="142"/>
      <c r="GGG68" s="143"/>
      <c r="GGH68" s="144"/>
      <c r="GGI68" s="144"/>
      <c r="GGJ68" s="143"/>
      <c r="GGK68" s="145"/>
      <c r="GGL68" s="143"/>
      <c r="GGM68" s="145"/>
      <c r="GGN68" s="146"/>
      <c r="GGO68" s="147"/>
      <c r="GGP68"/>
      <c r="GGQ68" s="148"/>
      <c r="GGR68"/>
      <c r="GGS68" s="140"/>
      <c r="GGT68" s="149"/>
      <c r="GGU68"/>
      <c r="GGV68" s="142"/>
      <c r="GGW68" s="143"/>
      <c r="GGX68" s="144"/>
      <c r="GGY68" s="144"/>
      <c r="GGZ68" s="143"/>
      <c r="GHA68" s="145"/>
      <c r="GHB68" s="143"/>
      <c r="GHC68" s="145"/>
      <c r="GHD68" s="146"/>
      <c r="GHE68" s="147"/>
      <c r="GHF68"/>
      <c r="GHG68" s="148"/>
      <c r="GHH68"/>
      <c r="GHI68" s="140"/>
      <c r="GHJ68" s="149"/>
      <c r="GHK68"/>
      <c r="GHL68" s="142"/>
      <c r="GHM68" s="143"/>
      <c r="GHN68" s="144"/>
      <c r="GHO68" s="144"/>
      <c r="GHP68" s="143"/>
      <c r="GHQ68" s="145"/>
      <c r="GHR68" s="143"/>
      <c r="GHS68" s="145"/>
      <c r="GHT68" s="146"/>
      <c r="GHU68" s="147"/>
      <c r="GHV68"/>
      <c r="GHW68" s="148"/>
      <c r="GHX68"/>
      <c r="GHY68" s="140"/>
      <c r="GHZ68" s="149"/>
      <c r="GIA68"/>
      <c r="GIB68" s="142"/>
      <c r="GIC68" s="143"/>
      <c r="GID68" s="144"/>
      <c r="GIE68" s="144"/>
      <c r="GIF68" s="143"/>
      <c r="GIG68" s="145"/>
      <c r="GIH68" s="143"/>
      <c r="GII68" s="145"/>
      <c r="GIJ68" s="146"/>
      <c r="GIK68" s="147"/>
      <c r="GIL68"/>
      <c r="GIM68" s="148"/>
      <c r="GIN68"/>
      <c r="GIO68" s="140"/>
      <c r="GIP68" s="149"/>
      <c r="GIQ68"/>
      <c r="GIR68" s="142"/>
      <c r="GIS68" s="143"/>
      <c r="GIT68" s="144"/>
      <c r="GIU68" s="144"/>
      <c r="GIV68" s="143"/>
      <c r="GIW68" s="145"/>
      <c r="GIX68" s="143"/>
      <c r="GIY68" s="145"/>
      <c r="GIZ68" s="146"/>
      <c r="GJA68" s="147"/>
      <c r="GJB68"/>
      <c r="GJC68" s="148"/>
      <c r="GJD68"/>
      <c r="GJE68" s="140"/>
      <c r="GJF68" s="149"/>
      <c r="GJG68"/>
      <c r="GJH68" s="142"/>
      <c r="GJI68" s="143"/>
      <c r="GJJ68" s="144"/>
      <c r="GJK68" s="144"/>
      <c r="GJL68" s="143"/>
      <c r="GJM68" s="145"/>
      <c r="GJN68" s="143"/>
      <c r="GJO68" s="145"/>
      <c r="GJP68" s="146"/>
      <c r="GJQ68" s="147"/>
      <c r="GJR68"/>
      <c r="GJS68" s="148"/>
      <c r="GJT68"/>
      <c r="GJU68" s="140"/>
      <c r="GJV68" s="149"/>
      <c r="GJW68"/>
      <c r="GJX68" s="142"/>
      <c r="GJY68" s="143"/>
      <c r="GJZ68" s="144"/>
      <c r="GKA68" s="144"/>
      <c r="GKB68" s="143"/>
      <c r="GKC68" s="145"/>
      <c r="GKD68" s="143"/>
      <c r="GKE68" s="145"/>
      <c r="GKF68" s="146"/>
      <c r="GKG68" s="147"/>
      <c r="GKH68"/>
      <c r="GKI68" s="148"/>
      <c r="GKJ68"/>
      <c r="GKK68" s="140"/>
      <c r="GKL68" s="149"/>
      <c r="GKM68"/>
      <c r="GKN68" s="142"/>
      <c r="GKO68" s="143"/>
      <c r="GKP68" s="144"/>
      <c r="GKQ68" s="144"/>
      <c r="GKR68" s="143"/>
      <c r="GKS68" s="145"/>
      <c r="GKT68" s="143"/>
      <c r="GKU68" s="145"/>
      <c r="GKV68" s="146"/>
      <c r="GKW68" s="147"/>
      <c r="GKX68"/>
      <c r="GKY68" s="148"/>
      <c r="GKZ68"/>
      <c r="GLA68" s="140"/>
      <c r="GLB68" s="149"/>
      <c r="GLC68"/>
      <c r="GLD68" s="142"/>
      <c r="GLE68" s="143"/>
      <c r="GLF68" s="144"/>
      <c r="GLG68" s="144"/>
      <c r="GLH68" s="143"/>
      <c r="GLI68" s="145"/>
      <c r="GLJ68" s="143"/>
      <c r="GLK68" s="145"/>
      <c r="GLL68" s="146"/>
      <c r="GLM68" s="147"/>
      <c r="GLN68"/>
      <c r="GLO68" s="148"/>
      <c r="GLP68"/>
      <c r="GLQ68" s="140"/>
      <c r="GLR68" s="149"/>
      <c r="GLS68"/>
      <c r="GLT68" s="142"/>
      <c r="GLU68" s="143"/>
      <c r="GLV68" s="144"/>
      <c r="GLW68" s="144"/>
      <c r="GLX68" s="143"/>
      <c r="GLY68" s="145"/>
      <c r="GLZ68" s="143"/>
      <c r="GMA68" s="145"/>
      <c r="GMB68" s="146"/>
      <c r="GMC68" s="147"/>
      <c r="GMD68"/>
      <c r="GME68" s="148"/>
      <c r="GMF68"/>
      <c r="GMG68" s="140"/>
      <c r="GMH68" s="149"/>
      <c r="GMI68"/>
      <c r="GMJ68" s="142"/>
      <c r="GMK68" s="143"/>
      <c r="GML68" s="144"/>
      <c r="GMM68" s="144"/>
      <c r="GMN68" s="143"/>
      <c r="GMO68" s="145"/>
      <c r="GMP68" s="143"/>
      <c r="GMQ68" s="145"/>
      <c r="GMR68" s="146"/>
      <c r="GMS68" s="147"/>
      <c r="GMT68"/>
      <c r="GMU68" s="148"/>
      <c r="GMV68"/>
      <c r="GMW68" s="140"/>
      <c r="GMX68" s="149"/>
      <c r="GMY68"/>
      <c r="GMZ68" s="142"/>
      <c r="GNA68" s="143"/>
      <c r="GNB68" s="144"/>
      <c r="GNC68" s="144"/>
      <c r="GND68" s="143"/>
      <c r="GNE68" s="145"/>
      <c r="GNF68" s="143"/>
      <c r="GNG68" s="145"/>
      <c r="GNH68" s="146"/>
      <c r="GNI68" s="147"/>
      <c r="GNJ68"/>
      <c r="GNK68" s="148"/>
      <c r="GNL68"/>
      <c r="GNM68" s="140"/>
      <c r="GNN68" s="149"/>
      <c r="GNO68"/>
      <c r="GNP68" s="142"/>
      <c r="GNQ68" s="143"/>
      <c r="GNR68" s="144"/>
      <c r="GNS68" s="144"/>
      <c r="GNT68" s="143"/>
      <c r="GNU68" s="145"/>
      <c r="GNV68" s="143"/>
      <c r="GNW68" s="145"/>
      <c r="GNX68" s="146"/>
      <c r="GNY68" s="147"/>
      <c r="GNZ68"/>
      <c r="GOA68" s="148"/>
      <c r="GOB68"/>
      <c r="GOC68" s="140"/>
      <c r="GOD68" s="149"/>
      <c r="GOE68"/>
      <c r="GOF68" s="142"/>
      <c r="GOG68" s="143"/>
      <c r="GOH68" s="144"/>
      <c r="GOI68" s="144"/>
      <c r="GOJ68" s="143"/>
      <c r="GOK68" s="145"/>
      <c r="GOL68" s="143"/>
      <c r="GOM68" s="145"/>
      <c r="GON68" s="146"/>
      <c r="GOO68" s="147"/>
      <c r="GOP68"/>
      <c r="GOQ68" s="148"/>
      <c r="GOR68"/>
      <c r="GOS68" s="140"/>
      <c r="GOT68" s="149"/>
      <c r="GOU68"/>
      <c r="GOV68" s="142"/>
      <c r="GOW68" s="143"/>
      <c r="GOX68" s="144"/>
      <c r="GOY68" s="144"/>
      <c r="GOZ68" s="143"/>
      <c r="GPA68" s="145"/>
      <c r="GPB68" s="143"/>
      <c r="GPC68" s="145"/>
      <c r="GPD68" s="146"/>
      <c r="GPE68" s="147"/>
      <c r="GPF68"/>
      <c r="GPG68" s="148"/>
      <c r="GPH68"/>
      <c r="GPI68" s="140"/>
      <c r="GPJ68" s="149"/>
      <c r="GPK68"/>
      <c r="GPL68" s="142"/>
      <c r="GPM68" s="143"/>
      <c r="GPN68" s="144"/>
      <c r="GPO68" s="144"/>
      <c r="GPP68" s="143"/>
      <c r="GPQ68" s="145"/>
      <c r="GPR68" s="143"/>
      <c r="GPS68" s="145"/>
      <c r="GPT68" s="146"/>
      <c r="GPU68" s="147"/>
      <c r="GPV68"/>
      <c r="GPW68" s="148"/>
      <c r="GPX68"/>
      <c r="GPY68" s="140"/>
      <c r="GPZ68" s="149"/>
      <c r="GQA68"/>
      <c r="GQB68" s="142"/>
      <c r="GQC68" s="143"/>
      <c r="GQD68" s="144"/>
      <c r="GQE68" s="144"/>
      <c r="GQF68" s="143"/>
      <c r="GQG68" s="145"/>
      <c r="GQH68" s="143"/>
      <c r="GQI68" s="145"/>
      <c r="GQJ68" s="146"/>
      <c r="GQK68" s="147"/>
      <c r="GQL68"/>
      <c r="GQM68" s="148"/>
      <c r="GQN68"/>
      <c r="GQO68" s="140"/>
      <c r="GQP68" s="149"/>
      <c r="GQQ68"/>
      <c r="GQR68" s="142"/>
      <c r="GQS68" s="143"/>
      <c r="GQT68" s="144"/>
      <c r="GQU68" s="144"/>
      <c r="GQV68" s="143"/>
      <c r="GQW68" s="145"/>
      <c r="GQX68" s="143"/>
      <c r="GQY68" s="145"/>
      <c r="GQZ68" s="146"/>
      <c r="GRA68" s="147"/>
      <c r="GRB68"/>
      <c r="GRC68" s="148"/>
      <c r="GRD68"/>
      <c r="GRE68" s="140"/>
      <c r="GRF68" s="149"/>
      <c r="GRG68"/>
      <c r="GRH68" s="142"/>
      <c r="GRI68" s="143"/>
      <c r="GRJ68" s="144"/>
      <c r="GRK68" s="144"/>
      <c r="GRL68" s="143"/>
      <c r="GRM68" s="145"/>
      <c r="GRN68" s="143"/>
      <c r="GRO68" s="145"/>
      <c r="GRP68" s="146"/>
      <c r="GRQ68" s="147"/>
      <c r="GRR68"/>
      <c r="GRS68" s="148"/>
      <c r="GRT68"/>
      <c r="GRU68" s="140"/>
      <c r="GRV68" s="149"/>
      <c r="GRW68"/>
      <c r="GRX68" s="142"/>
      <c r="GRY68" s="143"/>
      <c r="GRZ68" s="144"/>
      <c r="GSA68" s="144"/>
      <c r="GSB68" s="143"/>
      <c r="GSC68" s="145"/>
      <c r="GSD68" s="143"/>
      <c r="GSE68" s="145"/>
      <c r="GSF68" s="146"/>
      <c r="GSG68" s="147"/>
      <c r="GSH68"/>
      <c r="GSI68" s="148"/>
      <c r="GSJ68"/>
      <c r="GSK68" s="140"/>
      <c r="GSL68" s="149"/>
      <c r="GSM68"/>
      <c r="GSN68" s="142"/>
      <c r="GSO68" s="143"/>
      <c r="GSP68" s="144"/>
      <c r="GSQ68" s="144"/>
      <c r="GSR68" s="143"/>
      <c r="GSS68" s="145"/>
      <c r="GST68" s="143"/>
      <c r="GSU68" s="145"/>
      <c r="GSV68" s="146"/>
      <c r="GSW68" s="147"/>
      <c r="GSX68"/>
      <c r="GSY68" s="148"/>
      <c r="GSZ68"/>
      <c r="GTA68" s="140"/>
      <c r="GTB68" s="149"/>
      <c r="GTC68"/>
      <c r="GTD68" s="142"/>
      <c r="GTE68" s="143"/>
      <c r="GTF68" s="144"/>
      <c r="GTG68" s="144"/>
      <c r="GTH68" s="143"/>
      <c r="GTI68" s="145"/>
      <c r="GTJ68" s="143"/>
      <c r="GTK68" s="145"/>
      <c r="GTL68" s="146"/>
      <c r="GTM68" s="147"/>
      <c r="GTN68"/>
      <c r="GTO68" s="148"/>
      <c r="GTP68"/>
      <c r="GTQ68" s="140"/>
      <c r="GTR68" s="149"/>
      <c r="GTS68"/>
      <c r="GTT68" s="142"/>
      <c r="GTU68" s="143"/>
      <c r="GTV68" s="144"/>
      <c r="GTW68" s="144"/>
      <c r="GTX68" s="143"/>
      <c r="GTY68" s="145"/>
      <c r="GTZ68" s="143"/>
      <c r="GUA68" s="145"/>
      <c r="GUB68" s="146"/>
      <c r="GUC68" s="147"/>
      <c r="GUD68"/>
      <c r="GUE68" s="148"/>
      <c r="GUF68"/>
      <c r="GUG68" s="140"/>
      <c r="GUH68" s="149"/>
      <c r="GUI68"/>
      <c r="GUJ68" s="142"/>
      <c r="GUK68" s="143"/>
      <c r="GUL68" s="144"/>
      <c r="GUM68" s="144"/>
      <c r="GUN68" s="143"/>
      <c r="GUO68" s="145"/>
      <c r="GUP68" s="143"/>
      <c r="GUQ68" s="145"/>
      <c r="GUR68" s="146"/>
      <c r="GUS68" s="147"/>
      <c r="GUT68"/>
      <c r="GUU68" s="148"/>
      <c r="GUV68"/>
      <c r="GUW68" s="140"/>
      <c r="GUX68" s="149"/>
      <c r="GUY68"/>
      <c r="GUZ68" s="142"/>
      <c r="GVA68" s="143"/>
      <c r="GVB68" s="144"/>
      <c r="GVC68" s="144"/>
      <c r="GVD68" s="143"/>
      <c r="GVE68" s="145"/>
      <c r="GVF68" s="143"/>
      <c r="GVG68" s="145"/>
      <c r="GVH68" s="146"/>
      <c r="GVI68" s="147"/>
      <c r="GVJ68"/>
      <c r="GVK68" s="148"/>
      <c r="GVL68"/>
      <c r="GVM68" s="140"/>
      <c r="GVN68" s="149"/>
      <c r="GVO68"/>
      <c r="GVP68" s="142"/>
      <c r="GVQ68" s="143"/>
      <c r="GVR68" s="144"/>
      <c r="GVS68" s="144"/>
      <c r="GVT68" s="143"/>
      <c r="GVU68" s="145"/>
      <c r="GVV68" s="143"/>
      <c r="GVW68" s="145"/>
      <c r="GVX68" s="146"/>
      <c r="GVY68" s="147"/>
      <c r="GVZ68"/>
      <c r="GWA68" s="148"/>
      <c r="GWB68"/>
      <c r="GWC68" s="140"/>
      <c r="GWD68" s="149"/>
      <c r="GWE68"/>
      <c r="GWF68" s="142"/>
      <c r="GWG68" s="143"/>
      <c r="GWH68" s="144"/>
      <c r="GWI68" s="144"/>
      <c r="GWJ68" s="143"/>
      <c r="GWK68" s="145"/>
      <c r="GWL68" s="143"/>
      <c r="GWM68" s="145"/>
      <c r="GWN68" s="146"/>
      <c r="GWO68" s="147"/>
      <c r="GWP68"/>
      <c r="GWQ68" s="148"/>
      <c r="GWR68"/>
      <c r="GWS68" s="140"/>
      <c r="GWT68" s="149"/>
      <c r="GWU68"/>
      <c r="GWV68" s="142"/>
      <c r="GWW68" s="143"/>
      <c r="GWX68" s="144"/>
      <c r="GWY68" s="144"/>
      <c r="GWZ68" s="143"/>
      <c r="GXA68" s="145"/>
      <c r="GXB68" s="143"/>
      <c r="GXC68" s="145"/>
      <c r="GXD68" s="146"/>
      <c r="GXE68" s="147"/>
      <c r="GXF68"/>
      <c r="GXG68" s="148"/>
      <c r="GXH68"/>
      <c r="GXI68" s="140"/>
      <c r="GXJ68" s="149"/>
      <c r="GXK68"/>
      <c r="GXL68" s="142"/>
      <c r="GXM68" s="143"/>
      <c r="GXN68" s="144"/>
      <c r="GXO68" s="144"/>
      <c r="GXP68" s="143"/>
      <c r="GXQ68" s="145"/>
      <c r="GXR68" s="143"/>
      <c r="GXS68" s="145"/>
      <c r="GXT68" s="146"/>
      <c r="GXU68" s="147"/>
      <c r="GXV68"/>
      <c r="GXW68" s="148"/>
      <c r="GXX68"/>
      <c r="GXY68" s="140"/>
      <c r="GXZ68" s="149"/>
      <c r="GYA68"/>
      <c r="GYB68" s="142"/>
      <c r="GYC68" s="143"/>
      <c r="GYD68" s="144"/>
      <c r="GYE68" s="144"/>
      <c r="GYF68" s="143"/>
      <c r="GYG68" s="145"/>
      <c r="GYH68" s="143"/>
      <c r="GYI68" s="145"/>
      <c r="GYJ68" s="146"/>
      <c r="GYK68" s="147"/>
      <c r="GYL68"/>
      <c r="GYM68" s="148"/>
      <c r="GYN68"/>
      <c r="GYO68" s="140"/>
      <c r="GYP68" s="149"/>
      <c r="GYQ68"/>
      <c r="GYR68" s="142"/>
      <c r="GYS68" s="143"/>
      <c r="GYT68" s="144"/>
      <c r="GYU68" s="144"/>
      <c r="GYV68" s="143"/>
      <c r="GYW68" s="145"/>
      <c r="GYX68" s="143"/>
      <c r="GYY68" s="145"/>
      <c r="GYZ68" s="146"/>
      <c r="GZA68" s="147"/>
      <c r="GZB68"/>
      <c r="GZC68" s="148"/>
      <c r="GZD68"/>
      <c r="GZE68" s="140"/>
      <c r="GZF68" s="149"/>
      <c r="GZG68"/>
      <c r="GZH68" s="142"/>
      <c r="GZI68" s="143"/>
      <c r="GZJ68" s="144"/>
      <c r="GZK68" s="144"/>
      <c r="GZL68" s="143"/>
      <c r="GZM68" s="145"/>
      <c r="GZN68" s="143"/>
      <c r="GZO68" s="145"/>
      <c r="GZP68" s="146"/>
      <c r="GZQ68" s="147"/>
      <c r="GZR68"/>
      <c r="GZS68" s="148"/>
      <c r="GZT68"/>
      <c r="GZU68" s="140"/>
      <c r="GZV68" s="149"/>
      <c r="GZW68"/>
      <c r="GZX68" s="142"/>
      <c r="GZY68" s="143"/>
      <c r="GZZ68" s="144"/>
      <c r="HAA68" s="144"/>
      <c r="HAB68" s="143"/>
      <c r="HAC68" s="145"/>
      <c r="HAD68" s="143"/>
      <c r="HAE68" s="145"/>
      <c r="HAF68" s="146"/>
      <c r="HAG68" s="147"/>
      <c r="HAH68"/>
      <c r="HAI68" s="148"/>
      <c r="HAJ68"/>
      <c r="HAK68" s="140"/>
      <c r="HAL68" s="149"/>
      <c r="HAM68"/>
      <c r="HAN68" s="142"/>
      <c r="HAO68" s="143"/>
      <c r="HAP68" s="144"/>
      <c r="HAQ68" s="144"/>
      <c r="HAR68" s="143"/>
      <c r="HAS68" s="145"/>
      <c r="HAT68" s="143"/>
      <c r="HAU68" s="145"/>
      <c r="HAV68" s="146"/>
      <c r="HAW68" s="147"/>
      <c r="HAX68"/>
      <c r="HAY68" s="148"/>
      <c r="HAZ68"/>
      <c r="HBA68" s="140"/>
      <c r="HBB68" s="149"/>
      <c r="HBC68"/>
      <c r="HBD68" s="142"/>
      <c r="HBE68" s="143"/>
      <c r="HBF68" s="144"/>
      <c r="HBG68" s="144"/>
      <c r="HBH68" s="143"/>
      <c r="HBI68" s="145"/>
      <c r="HBJ68" s="143"/>
      <c r="HBK68" s="145"/>
      <c r="HBL68" s="146"/>
      <c r="HBM68" s="147"/>
      <c r="HBN68"/>
      <c r="HBO68" s="148"/>
      <c r="HBP68"/>
      <c r="HBQ68" s="140"/>
      <c r="HBR68" s="149"/>
      <c r="HBS68"/>
      <c r="HBT68" s="142"/>
      <c r="HBU68" s="143"/>
      <c r="HBV68" s="144"/>
      <c r="HBW68" s="144"/>
      <c r="HBX68" s="143"/>
      <c r="HBY68" s="145"/>
      <c r="HBZ68" s="143"/>
      <c r="HCA68" s="145"/>
      <c r="HCB68" s="146"/>
      <c r="HCC68" s="147"/>
      <c r="HCD68"/>
      <c r="HCE68" s="148"/>
      <c r="HCF68"/>
      <c r="HCG68" s="140"/>
      <c r="HCH68" s="149"/>
      <c r="HCI68"/>
      <c r="HCJ68" s="142"/>
      <c r="HCK68" s="143"/>
      <c r="HCL68" s="144"/>
      <c r="HCM68" s="144"/>
      <c r="HCN68" s="143"/>
      <c r="HCO68" s="145"/>
      <c r="HCP68" s="143"/>
      <c r="HCQ68" s="145"/>
      <c r="HCR68" s="146"/>
      <c r="HCS68" s="147"/>
      <c r="HCT68"/>
      <c r="HCU68" s="148"/>
      <c r="HCV68"/>
      <c r="HCW68" s="140"/>
      <c r="HCX68" s="149"/>
      <c r="HCY68"/>
      <c r="HCZ68" s="142"/>
      <c r="HDA68" s="143"/>
      <c r="HDB68" s="144"/>
      <c r="HDC68" s="144"/>
      <c r="HDD68" s="143"/>
      <c r="HDE68" s="145"/>
      <c r="HDF68" s="143"/>
      <c r="HDG68" s="145"/>
      <c r="HDH68" s="146"/>
      <c r="HDI68" s="147"/>
      <c r="HDJ68"/>
      <c r="HDK68" s="148"/>
      <c r="HDL68"/>
      <c r="HDM68" s="140"/>
      <c r="HDN68" s="149"/>
      <c r="HDO68"/>
      <c r="HDP68" s="142"/>
      <c r="HDQ68" s="143"/>
      <c r="HDR68" s="144"/>
      <c r="HDS68" s="144"/>
      <c r="HDT68" s="143"/>
      <c r="HDU68" s="145"/>
      <c r="HDV68" s="143"/>
      <c r="HDW68" s="145"/>
      <c r="HDX68" s="146"/>
      <c r="HDY68" s="147"/>
      <c r="HDZ68"/>
      <c r="HEA68" s="148"/>
      <c r="HEB68"/>
      <c r="HEC68" s="140"/>
      <c r="HED68" s="149"/>
      <c r="HEE68"/>
      <c r="HEF68" s="142"/>
      <c r="HEG68" s="143"/>
      <c r="HEH68" s="144"/>
      <c r="HEI68" s="144"/>
      <c r="HEJ68" s="143"/>
      <c r="HEK68" s="145"/>
      <c r="HEL68" s="143"/>
      <c r="HEM68" s="145"/>
      <c r="HEN68" s="146"/>
      <c r="HEO68" s="147"/>
      <c r="HEP68"/>
      <c r="HEQ68" s="148"/>
      <c r="HER68"/>
      <c r="HES68" s="140"/>
      <c r="HET68" s="149"/>
      <c r="HEU68"/>
      <c r="HEV68" s="142"/>
      <c r="HEW68" s="143"/>
      <c r="HEX68" s="144"/>
      <c r="HEY68" s="144"/>
      <c r="HEZ68" s="143"/>
      <c r="HFA68" s="145"/>
      <c r="HFB68" s="143"/>
      <c r="HFC68" s="145"/>
      <c r="HFD68" s="146"/>
      <c r="HFE68" s="147"/>
      <c r="HFF68"/>
      <c r="HFG68" s="148"/>
      <c r="HFH68"/>
      <c r="HFI68" s="140"/>
      <c r="HFJ68" s="149"/>
      <c r="HFK68"/>
      <c r="HFL68" s="142"/>
      <c r="HFM68" s="143"/>
      <c r="HFN68" s="144"/>
      <c r="HFO68" s="144"/>
      <c r="HFP68" s="143"/>
      <c r="HFQ68" s="145"/>
      <c r="HFR68" s="143"/>
      <c r="HFS68" s="145"/>
      <c r="HFT68" s="146"/>
      <c r="HFU68" s="147"/>
      <c r="HFV68"/>
      <c r="HFW68" s="148"/>
      <c r="HFX68"/>
      <c r="HFY68" s="140"/>
      <c r="HFZ68" s="149"/>
      <c r="HGA68"/>
      <c r="HGB68" s="142"/>
      <c r="HGC68" s="143"/>
      <c r="HGD68" s="144"/>
      <c r="HGE68" s="144"/>
      <c r="HGF68" s="143"/>
      <c r="HGG68" s="145"/>
      <c r="HGH68" s="143"/>
      <c r="HGI68" s="145"/>
      <c r="HGJ68" s="146"/>
      <c r="HGK68" s="147"/>
      <c r="HGL68"/>
      <c r="HGM68" s="148"/>
      <c r="HGN68"/>
      <c r="HGO68" s="140"/>
      <c r="HGP68" s="149"/>
      <c r="HGQ68"/>
      <c r="HGR68" s="142"/>
      <c r="HGS68" s="143"/>
      <c r="HGT68" s="144"/>
      <c r="HGU68" s="144"/>
      <c r="HGV68" s="143"/>
      <c r="HGW68" s="145"/>
      <c r="HGX68" s="143"/>
      <c r="HGY68" s="145"/>
      <c r="HGZ68" s="146"/>
      <c r="HHA68" s="147"/>
      <c r="HHB68"/>
      <c r="HHC68" s="148"/>
      <c r="HHD68"/>
      <c r="HHE68" s="140"/>
      <c r="HHF68" s="149"/>
      <c r="HHG68"/>
      <c r="HHH68" s="142"/>
      <c r="HHI68" s="143"/>
      <c r="HHJ68" s="144"/>
      <c r="HHK68" s="144"/>
      <c r="HHL68" s="143"/>
      <c r="HHM68" s="145"/>
      <c r="HHN68" s="143"/>
      <c r="HHO68" s="145"/>
      <c r="HHP68" s="146"/>
      <c r="HHQ68" s="147"/>
      <c r="HHR68"/>
      <c r="HHS68" s="148"/>
      <c r="HHT68"/>
      <c r="HHU68" s="140"/>
      <c r="HHV68" s="149"/>
      <c r="HHW68"/>
      <c r="HHX68" s="142"/>
      <c r="HHY68" s="143"/>
      <c r="HHZ68" s="144"/>
      <c r="HIA68" s="144"/>
      <c r="HIB68" s="143"/>
      <c r="HIC68" s="145"/>
      <c r="HID68" s="143"/>
      <c r="HIE68" s="145"/>
      <c r="HIF68" s="146"/>
      <c r="HIG68" s="147"/>
      <c r="HIH68"/>
      <c r="HII68" s="148"/>
      <c r="HIJ68"/>
      <c r="HIK68" s="140"/>
      <c r="HIL68" s="149"/>
      <c r="HIM68"/>
      <c r="HIN68" s="142"/>
      <c r="HIO68" s="143"/>
      <c r="HIP68" s="144"/>
      <c r="HIQ68" s="144"/>
      <c r="HIR68" s="143"/>
      <c r="HIS68" s="145"/>
      <c r="HIT68" s="143"/>
      <c r="HIU68" s="145"/>
      <c r="HIV68" s="146"/>
      <c r="HIW68" s="147"/>
      <c r="HIX68"/>
      <c r="HIY68" s="148"/>
      <c r="HIZ68"/>
      <c r="HJA68" s="140"/>
      <c r="HJB68" s="149"/>
      <c r="HJC68"/>
      <c r="HJD68" s="142"/>
      <c r="HJE68" s="143"/>
      <c r="HJF68" s="144"/>
      <c r="HJG68" s="144"/>
      <c r="HJH68" s="143"/>
      <c r="HJI68" s="145"/>
      <c r="HJJ68" s="143"/>
      <c r="HJK68" s="145"/>
      <c r="HJL68" s="146"/>
      <c r="HJM68" s="147"/>
      <c r="HJN68"/>
      <c r="HJO68" s="148"/>
      <c r="HJP68"/>
      <c r="HJQ68" s="140"/>
      <c r="HJR68" s="149"/>
      <c r="HJS68"/>
      <c r="HJT68" s="142"/>
      <c r="HJU68" s="143"/>
      <c r="HJV68" s="144"/>
      <c r="HJW68" s="144"/>
      <c r="HJX68" s="143"/>
      <c r="HJY68" s="145"/>
      <c r="HJZ68" s="143"/>
      <c r="HKA68" s="145"/>
      <c r="HKB68" s="146"/>
      <c r="HKC68" s="147"/>
      <c r="HKD68"/>
      <c r="HKE68" s="148"/>
      <c r="HKF68"/>
      <c r="HKG68" s="140"/>
      <c r="HKH68" s="149"/>
      <c r="HKI68"/>
      <c r="HKJ68" s="142"/>
      <c r="HKK68" s="143"/>
      <c r="HKL68" s="144"/>
      <c r="HKM68" s="144"/>
      <c r="HKN68" s="143"/>
      <c r="HKO68" s="145"/>
      <c r="HKP68" s="143"/>
      <c r="HKQ68" s="145"/>
      <c r="HKR68" s="146"/>
      <c r="HKS68" s="147"/>
      <c r="HKT68"/>
      <c r="HKU68" s="148"/>
      <c r="HKV68"/>
      <c r="HKW68" s="140"/>
      <c r="HKX68" s="149"/>
      <c r="HKY68"/>
      <c r="HKZ68" s="142"/>
      <c r="HLA68" s="143"/>
      <c r="HLB68" s="144"/>
      <c r="HLC68" s="144"/>
      <c r="HLD68" s="143"/>
      <c r="HLE68" s="145"/>
      <c r="HLF68" s="143"/>
      <c r="HLG68" s="145"/>
      <c r="HLH68" s="146"/>
      <c r="HLI68" s="147"/>
      <c r="HLJ68"/>
      <c r="HLK68" s="148"/>
      <c r="HLL68"/>
      <c r="HLM68" s="140"/>
      <c r="HLN68" s="149"/>
      <c r="HLO68"/>
      <c r="HLP68" s="142"/>
      <c r="HLQ68" s="143"/>
      <c r="HLR68" s="144"/>
      <c r="HLS68" s="144"/>
      <c r="HLT68" s="143"/>
      <c r="HLU68" s="145"/>
      <c r="HLV68" s="143"/>
      <c r="HLW68" s="145"/>
      <c r="HLX68" s="146"/>
      <c r="HLY68" s="147"/>
      <c r="HLZ68"/>
      <c r="HMA68" s="148"/>
      <c r="HMB68"/>
      <c r="HMC68" s="140"/>
      <c r="HMD68" s="149"/>
      <c r="HME68"/>
      <c r="HMF68" s="142"/>
      <c r="HMG68" s="143"/>
      <c r="HMH68" s="144"/>
      <c r="HMI68" s="144"/>
      <c r="HMJ68" s="143"/>
      <c r="HMK68" s="145"/>
      <c r="HML68" s="143"/>
      <c r="HMM68" s="145"/>
      <c r="HMN68" s="146"/>
      <c r="HMO68" s="147"/>
      <c r="HMP68"/>
      <c r="HMQ68" s="148"/>
      <c r="HMR68"/>
      <c r="HMS68" s="140"/>
      <c r="HMT68" s="149"/>
      <c r="HMU68"/>
      <c r="HMV68" s="142"/>
      <c r="HMW68" s="143"/>
      <c r="HMX68" s="144"/>
      <c r="HMY68" s="144"/>
      <c r="HMZ68" s="143"/>
      <c r="HNA68" s="145"/>
      <c r="HNB68" s="143"/>
      <c r="HNC68" s="145"/>
      <c r="HND68" s="146"/>
      <c r="HNE68" s="147"/>
      <c r="HNF68"/>
      <c r="HNG68" s="148"/>
      <c r="HNH68"/>
      <c r="HNI68" s="140"/>
      <c r="HNJ68" s="149"/>
      <c r="HNK68"/>
      <c r="HNL68" s="142"/>
      <c r="HNM68" s="143"/>
      <c r="HNN68" s="144"/>
      <c r="HNO68" s="144"/>
      <c r="HNP68" s="143"/>
      <c r="HNQ68" s="145"/>
      <c r="HNR68" s="143"/>
      <c r="HNS68" s="145"/>
      <c r="HNT68" s="146"/>
      <c r="HNU68" s="147"/>
      <c r="HNV68"/>
      <c r="HNW68" s="148"/>
      <c r="HNX68"/>
      <c r="HNY68" s="140"/>
      <c r="HNZ68" s="149"/>
      <c r="HOA68"/>
      <c r="HOB68" s="142"/>
      <c r="HOC68" s="143"/>
      <c r="HOD68" s="144"/>
      <c r="HOE68" s="144"/>
      <c r="HOF68" s="143"/>
      <c r="HOG68" s="145"/>
      <c r="HOH68" s="143"/>
      <c r="HOI68" s="145"/>
      <c r="HOJ68" s="146"/>
      <c r="HOK68" s="147"/>
      <c r="HOL68"/>
      <c r="HOM68" s="148"/>
      <c r="HON68"/>
      <c r="HOO68" s="140"/>
      <c r="HOP68" s="149"/>
      <c r="HOQ68"/>
      <c r="HOR68" s="142"/>
      <c r="HOS68" s="143"/>
      <c r="HOT68" s="144"/>
      <c r="HOU68" s="144"/>
      <c r="HOV68" s="143"/>
      <c r="HOW68" s="145"/>
      <c r="HOX68" s="143"/>
      <c r="HOY68" s="145"/>
      <c r="HOZ68" s="146"/>
      <c r="HPA68" s="147"/>
      <c r="HPB68"/>
      <c r="HPC68" s="148"/>
      <c r="HPD68"/>
      <c r="HPE68" s="140"/>
      <c r="HPF68" s="149"/>
      <c r="HPG68"/>
      <c r="HPH68" s="142"/>
      <c r="HPI68" s="143"/>
      <c r="HPJ68" s="144"/>
      <c r="HPK68" s="144"/>
      <c r="HPL68" s="143"/>
      <c r="HPM68" s="145"/>
      <c r="HPN68" s="143"/>
      <c r="HPO68" s="145"/>
      <c r="HPP68" s="146"/>
      <c r="HPQ68" s="147"/>
      <c r="HPR68"/>
      <c r="HPS68" s="148"/>
      <c r="HPT68"/>
      <c r="HPU68" s="140"/>
      <c r="HPV68" s="149"/>
      <c r="HPW68"/>
      <c r="HPX68" s="142"/>
      <c r="HPY68" s="143"/>
      <c r="HPZ68" s="144"/>
      <c r="HQA68" s="144"/>
      <c r="HQB68" s="143"/>
      <c r="HQC68" s="145"/>
      <c r="HQD68" s="143"/>
      <c r="HQE68" s="145"/>
      <c r="HQF68" s="146"/>
      <c r="HQG68" s="147"/>
      <c r="HQH68"/>
      <c r="HQI68" s="148"/>
      <c r="HQJ68"/>
      <c r="HQK68" s="140"/>
      <c r="HQL68" s="149"/>
      <c r="HQM68"/>
      <c r="HQN68" s="142"/>
      <c r="HQO68" s="143"/>
      <c r="HQP68" s="144"/>
      <c r="HQQ68" s="144"/>
      <c r="HQR68" s="143"/>
      <c r="HQS68" s="145"/>
      <c r="HQT68" s="143"/>
      <c r="HQU68" s="145"/>
      <c r="HQV68" s="146"/>
      <c r="HQW68" s="147"/>
      <c r="HQX68"/>
      <c r="HQY68" s="148"/>
      <c r="HQZ68"/>
      <c r="HRA68" s="140"/>
      <c r="HRB68" s="149"/>
      <c r="HRC68"/>
      <c r="HRD68" s="142"/>
      <c r="HRE68" s="143"/>
      <c r="HRF68" s="144"/>
      <c r="HRG68" s="144"/>
      <c r="HRH68" s="143"/>
      <c r="HRI68" s="145"/>
      <c r="HRJ68" s="143"/>
      <c r="HRK68" s="145"/>
      <c r="HRL68" s="146"/>
      <c r="HRM68" s="147"/>
      <c r="HRN68"/>
      <c r="HRO68" s="148"/>
      <c r="HRP68"/>
      <c r="HRQ68" s="140"/>
      <c r="HRR68" s="149"/>
      <c r="HRS68"/>
      <c r="HRT68" s="142"/>
      <c r="HRU68" s="143"/>
      <c r="HRV68" s="144"/>
      <c r="HRW68" s="144"/>
      <c r="HRX68" s="143"/>
      <c r="HRY68" s="145"/>
      <c r="HRZ68" s="143"/>
      <c r="HSA68" s="145"/>
      <c r="HSB68" s="146"/>
      <c r="HSC68" s="147"/>
      <c r="HSD68"/>
      <c r="HSE68" s="148"/>
      <c r="HSF68"/>
      <c r="HSG68" s="140"/>
      <c r="HSH68" s="149"/>
      <c r="HSI68"/>
      <c r="HSJ68" s="142"/>
      <c r="HSK68" s="143"/>
      <c r="HSL68" s="144"/>
      <c r="HSM68" s="144"/>
      <c r="HSN68" s="143"/>
      <c r="HSO68" s="145"/>
      <c r="HSP68" s="143"/>
      <c r="HSQ68" s="145"/>
      <c r="HSR68" s="146"/>
      <c r="HSS68" s="147"/>
      <c r="HST68"/>
      <c r="HSU68" s="148"/>
      <c r="HSV68"/>
      <c r="HSW68" s="140"/>
      <c r="HSX68" s="149"/>
      <c r="HSY68"/>
      <c r="HSZ68" s="142"/>
      <c r="HTA68" s="143"/>
      <c r="HTB68" s="144"/>
      <c r="HTC68" s="144"/>
      <c r="HTD68" s="143"/>
      <c r="HTE68" s="145"/>
      <c r="HTF68" s="143"/>
      <c r="HTG68" s="145"/>
      <c r="HTH68" s="146"/>
      <c r="HTI68" s="147"/>
      <c r="HTJ68"/>
      <c r="HTK68" s="148"/>
      <c r="HTL68"/>
      <c r="HTM68" s="140"/>
      <c r="HTN68" s="149"/>
      <c r="HTO68"/>
      <c r="HTP68" s="142"/>
      <c r="HTQ68" s="143"/>
      <c r="HTR68" s="144"/>
      <c r="HTS68" s="144"/>
      <c r="HTT68" s="143"/>
      <c r="HTU68" s="145"/>
      <c r="HTV68" s="143"/>
      <c r="HTW68" s="145"/>
      <c r="HTX68" s="146"/>
      <c r="HTY68" s="147"/>
      <c r="HTZ68"/>
      <c r="HUA68" s="148"/>
      <c r="HUB68"/>
      <c r="HUC68" s="140"/>
      <c r="HUD68" s="149"/>
      <c r="HUE68"/>
      <c r="HUF68" s="142"/>
      <c r="HUG68" s="143"/>
      <c r="HUH68" s="144"/>
      <c r="HUI68" s="144"/>
      <c r="HUJ68" s="143"/>
      <c r="HUK68" s="145"/>
      <c r="HUL68" s="143"/>
      <c r="HUM68" s="145"/>
      <c r="HUN68" s="146"/>
      <c r="HUO68" s="147"/>
      <c r="HUP68"/>
      <c r="HUQ68" s="148"/>
      <c r="HUR68"/>
      <c r="HUS68" s="140"/>
      <c r="HUT68" s="149"/>
      <c r="HUU68"/>
      <c r="HUV68" s="142"/>
      <c r="HUW68" s="143"/>
      <c r="HUX68" s="144"/>
      <c r="HUY68" s="144"/>
      <c r="HUZ68" s="143"/>
      <c r="HVA68" s="145"/>
      <c r="HVB68" s="143"/>
      <c r="HVC68" s="145"/>
      <c r="HVD68" s="146"/>
      <c r="HVE68" s="147"/>
      <c r="HVF68"/>
      <c r="HVG68" s="148"/>
      <c r="HVH68"/>
      <c r="HVI68" s="140"/>
      <c r="HVJ68" s="149"/>
      <c r="HVK68"/>
      <c r="HVL68" s="142"/>
      <c r="HVM68" s="143"/>
      <c r="HVN68" s="144"/>
      <c r="HVO68" s="144"/>
      <c r="HVP68" s="143"/>
      <c r="HVQ68" s="145"/>
      <c r="HVR68" s="143"/>
      <c r="HVS68" s="145"/>
      <c r="HVT68" s="146"/>
      <c r="HVU68" s="147"/>
      <c r="HVV68"/>
      <c r="HVW68" s="148"/>
      <c r="HVX68"/>
      <c r="HVY68" s="140"/>
      <c r="HVZ68" s="149"/>
      <c r="HWA68"/>
      <c r="HWB68" s="142"/>
      <c r="HWC68" s="143"/>
      <c r="HWD68" s="144"/>
      <c r="HWE68" s="144"/>
      <c r="HWF68" s="143"/>
      <c r="HWG68" s="145"/>
      <c r="HWH68" s="143"/>
      <c r="HWI68" s="145"/>
      <c r="HWJ68" s="146"/>
      <c r="HWK68" s="147"/>
      <c r="HWL68"/>
      <c r="HWM68" s="148"/>
      <c r="HWN68"/>
      <c r="HWO68" s="140"/>
      <c r="HWP68" s="149"/>
      <c r="HWQ68"/>
      <c r="HWR68" s="142"/>
      <c r="HWS68" s="143"/>
      <c r="HWT68" s="144"/>
      <c r="HWU68" s="144"/>
      <c r="HWV68" s="143"/>
      <c r="HWW68" s="145"/>
      <c r="HWX68" s="143"/>
      <c r="HWY68" s="145"/>
      <c r="HWZ68" s="146"/>
      <c r="HXA68" s="147"/>
      <c r="HXB68"/>
      <c r="HXC68" s="148"/>
      <c r="HXD68"/>
      <c r="HXE68" s="140"/>
      <c r="HXF68" s="149"/>
      <c r="HXG68"/>
      <c r="HXH68" s="142"/>
      <c r="HXI68" s="143"/>
      <c r="HXJ68" s="144"/>
      <c r="HXK68" s="144"/>
      <c r="HXL68" s="143"/>
      <c r="HXM68" s="145"/>
      <c r="HXN68" s="143"/>
      <c r="HXO68" s="145"/>
      <c r="HXP68" s="146"/>
      <c r="HXQ68" s="147"/>
      <c r="HXR68"/>
      <c r="HXS68" s="148"/>
      <c r="HXT68"/>
      <c r="HXU68" s="140"/>
      <c r="HXV68" s="149"/>
      <c r="HXW68"/>
      <c r="HXX68" s="142"/>
      <c r="HXY68" s="143"/>
      <c r="HXZ68" s="144"/>
      <c r="HYA68" s="144"/>
      <c r="HYB68" s="143"/>
      <c r="HYC68" s="145"/>
      <c r="HYD68" s="143"/>
      <c r="HYE68" s="145"/>
      <c r="HYF68" s="146"/>
      <c r="HYG68" s="147"/>
      <c r="HYH68"/>
      <c r="HYI68" s="148"/>
      <c r="HYJ68"/>
      <c r="HYK68" s="140"/>
      <c r="HYL68" s="149"/>
      <c r="HYM68"/>
      <c r="HYN68" s="142"/>
      <c r="HYO68" s="143"/>
      <c r="HYP68" s="144"/>
      <c r="HYQ68" s="144"/>
      <c r="HYR68" s="143"/>
      <c r="HYS68" s="145"/>
      <c r="HYT68" s="143"/>
      <c r="HYU68" s="145"/>
      <c r="HYV68" s="146"/>
      <c r="HYW68" s="147"/>
      <c r="HYX68"/>
      <c r="HYY68" s="148"/>
      <c r="HYZ68"/>
      <c r="HZA68" s="140"/>
      <c r="HZB68" s="149"/>
      <c r="HZC68"/>
      <c r="HZD68" s="142"/>
      <c r="HZE68" s="143"/>
      <c r="HZF68" s="144"/>
      <c r="HZG68" s="144"/>
      <c r="HZH68" s="143"/>
      <c r="HZI68" s="145"/>
      <c r="HZJ68" s="143"/>
      <c r="HZK68" s="145"/>
      <c r="HZL68" s="146"/>
      <c r="HZM68" s="147"/>
      <c r="HZN68"/>
      <c r="HZO68" s="148"/>
      <c r="HZP68"/>
      <c r="HZQ68" s="140"/>
      <c r="HZR68" s="149"/>
      <c r="HZS68"/>
      <c r="HZT68" s="142"/>
      <c r="HZU68" s="143"/>
      <c r="HZV68" s="144"/>
      <c r="HZW68" s="144"/>
      <c r="HZX68" s="143"/>
      <c r="HZY68" s="145"/>
      <c r="HZZ68" s="143"/>
      <c r="IAA68" s="145"/>
      <c r="IAB68" s="146"/>
      <c r="IAC68" s="147"/>
      <c r="IAD68"/>
      <c r="IAE68" s="148"/>
      <c r="IAF68"/>
      <c r="IAG68" s="140"/>
      <c r="IAH68" s="149"/>
      <c r="IAI68"/>
      <c r="IAJ68" s="142"/>
      <c r="IAK68" s="143"/>
      <c r="IAL68" s="144"/>
      <c r="IAM68" s="144"/>
      <c r="IAN68" s="143"/>
      <c r="IAO68" s="145"/>
      <c r="IAP68" s="143"/>
      <c r="IAQ68" s="145"/>
      <c r="IAR68" s="146"/>
      <c r="IAS68" s="147"/>
      <c r="IAT68"/>
      <c r="IAU68" s="148"/>
      <c r="IAV68"/>
      <c r="IAW68" s="140"/>
      <c r="IAX68" s="149"/>
      <c r="IAY68"/>
      <c r="IAZ68" s="142"/>
      <c r="IBA68" s="143"/>
      <c r="IBB68" s="144"/>
      <c r="IBC68" s="144"/>
      <c r="IBD68" s="143"/>
      <c r="IBE68" s="145"/>
      <c r="IBF68" s="143"/>
      <c r="IBG68" s="145"/>
      <c r="IBH68" s="146"/>
      <c r="IBI68" s="147"/>
      <c r="IBJ68"/>
      <c r="IBK68" s="148"/>
      <c r="IBL68"/>
      <c r="IBM68" s="140"/>
      <c r="IBN68" s="149"/>
      <c r="IBO68"/>
      <c r="IBP68" s="142"/>
      <c r="IBQ68" s="143"/>
      <c r="IBR68" s="144"/>
      <c r="IBS68" s="144"/>
      <c r="IBT68" s="143"/>
      <c r="IBU68" s="145"/>
      <c r="IBV68" s="143"/>
      <c r="IBW68" s="145"/>
      <c r="IBX68" s="146"/>
      <c r="IBY68" s="147"/>
      <c r="IBZ68"/>
      <c r="ICA68" s="148"/>
      <c r="ICB68"/>
      <c r="ICC68" s="140"/>
      <c r="ICD68" s="149"/>
      <c r="ICE68"/>
      <c r="ICF68" s="142"/>
      <c r="ICG68" s="143"/>
      <c r="ICH68" s="144"/>
      <c r="ICI68" s="144"/>
      <c r="ICJ68" s="143"/>
      <c r="ICK68" s="145"/>
      <c r="ICL68" s="143"/>
      <c r="ICM68" s="145"/>
      <c r="ICN68" s="146"/>
      <c r="ICO68" s="147"/>
      <c r="ICP68"/>
      <c r="ICQ68" s="148"/>
      <c r="ICR68"/>
      <c r="ICS68" s="140"/>
      <c r="ICT68" s="149"/>
      <c r="ICU68"/>
      <c r="ICV68" s="142"/>
      <c r="ICW68" s="143"/>
      <c r="ICX68" s="144"/>
      <c r="ICY68" s="144"/>
      <c r="ICZ68" s="143"/>
      <c r="IDA68" s="145"/>
      <c r="IDB68" s="143"/>
      <c r="IDC68" s="145"/>
      <c r="IDD68" s="146"/>
      <c r="IDE68" s="147"/>
      <c r="IDF68"/>
      <c r="IDG68" s="148"/>
      <c r="IDH68"/>
      <c r="IDI68" s="140"/>
      <c r="IDJ68" s="149"/>
      <c r="IDK68"/>
      <c r="IDL68" s="142"/>
      <c r="IDM68" s="143"/>
      <c r="IDN68" s="144"/>
      <c r="IDO68" s="144"/>
      <c r="IDP68" s="143"/>
      <c r="IDQ68" s="145"/>
      <c r="IDR68" s="143"/>
      <c r="IDS68" s="145"/>
      <c r="IDT68" s="146"/>
      <c r="IDU68" s="147"/>
      <c r="IDV68"/>
      <c r="IDW68" s="148"/>
      <c r="IDX68"/>
      <c r="IDY68" s="140"/>
      <c r="IDZ68" s="149"/>
      <c r="IEA68"/>
      <c r="IEB68" s="142"/>
      <c r="IEC68" s="143"/>
      <c r="IED68" s="144"/>
      <c r="IEE68" s="144"/>
      <c r="IEF68" s="143"/>
      <c r="IEG68" s="145"/>
      <c r="IEH68" s="143"/>
      <c r="IEI68" s="145"/>
      <c r="IEJ68" s="146"/>
      <c r="IEK68" s="147"/>
      <c r="IEL68"/>
      <c r="IEM68" s="148"/>
      <c r="IEN68"/>
      <c r="IEO68" s="140"/>
      <c r="IEP68" s="149"/>
      <c r="IEQ68"/>
      <c r="IER68" s="142"/>
      <c r="IES68" s="143"/>
      <c r="IET68" s="144"/>
      <c r="IEU68" s="144"/>
      <c r="IEV68" s="143"/>
      <c r="IEW68" s="145"/>
      <c r="IEX68" s="143"/>
      <c r="IEY68" s="145"/>
      <c r="IEZ68" s="146"/>
      <c r="IFA68" s="147"/>
      <c r="IFB68"/>
      <c r="IFC68" s="148"/>
      <c r="IFD68"/>
      <c r="IFE68" s="140"/>
      <c r="IFF68" s="149"/>
      <c r="IFG68"/>
      <c r="IFH68" s="142"/>
      <c r="IFI68" s="143"/>
      <c r="IFJ68" s="144"/>
      <c r="IFK68" s="144"/>
      <c r="IFL68" s="143"/>
      <c r="IFM68" s="145"/>
      <c r="IFN68" s="143"/>
      <c r="IFO68" s="145"/>
      <c r="IFP68" s="146"/>
      <c r="IFQ68" s="147"/>
      <c r="IFR68"/>
      <c r="IFS68" s="148"/>
      <c r="IFT68"/>
      <c r="IFU68" s="140"/>
      <c r="IFV68" s="149"/>
      <c r="IFW68"/>
      <c r="IFX68" s="142"/>
      <c r="IFY68" s="143"/>
      <c r="IFZ68" s="144"/>
      <c r="IGA68" s="144"/>
      <c r="IGB68" s="143"/>
      <c r="IGC68" s="145"/>
      <c r="IGD68" s="143"/>
      <c r="IGE68" s="145"/>
      <c r="IGF68" s="146"/>
      <c r="IGG68" s="147"/>
      <c r="IGH68"/>
      <c r="IGI68" s="148"/>
      <c r="IGJ68"/>
      <c r="IGK68" s="140"/>
      <c r="IGL68" s="149"/>
      <c r="IGM68"/>
      <c r="IGN68" s="142"/>
      <c r="IGO68" s="143"/>
      <c r="IGP68" s="144"/>
      <c r="IGQ68" s="144"/>
      <c r="IGR68" s="143"/>
      <c r="IGS68" s="145"/>
      <c r="IGT68" s="143"/>
      <c r="IGU68" s="145"/>
      <c r="IGV68" s="146"/>
      <c r="IGW68" s="147"/>
      <c r="IGX68"/>
      <c r="IGY68" s="148"/>
      <c r="IGZ68"/>
      <c r="IHA68" s="140"/>
      <c r="IHB68" s="149"/>
      <c r="IHC68"/>
      <c r="IHD68" s="142"/>
      <c r="IHE68" s="143"/>
      <c r="IHF68" s="144"/>
      <c r="IHG68" s="144"/>
      <c r="IHH68" s="143"/>
      <c r="IHI68" s="145"/>
      <c r="IHJ68" s="143"/>
      <c r="IHK68" s="145"/>
      <c r="IHL68" s="146"/>
      <c r="IHM68" s="147"/>
      <c r="IHN68"/>
      <c r="IHO68" s="148"/>
      <c r="IHP68"/>
      <c r="IHQ68" s="140"/>
      <c r="IHR68" s="149"/>
      <c r="IHS68"/>
      <c r="IHT68" s="142"/>
      <c r="IHU68" s="143"/>
      <c r="IHV68" s="144"/>
      <c r="IHW68" s="144"/>
      <c r="IHX68" s="143"/>
      <c r="IHY68" s="145"/>
      <c r="IHZ68" s="143"/>
      <c r="IIA68" s="145"/>
      <c r="IIB68" s="146"/>
      <c r="IIC68" s="147"/>
      <c r="IID68"/>
      <c r="IIE68" s="148"/>
      <c r="IIF68"/>
      <c r="IIG68" s="140"/>
      <c r="IIH68" s="149"/>
      <c r="III68"/>
      <c r="IIJ68" s="142"/>
      <c r="IIK68" s="143"/>
      <c r="IIL68" s="144"/>
      <c r="IIM68" s="144"/>
      <c r="IIN68" s="143"/>
      <c r="IIO68" s="145"/>
      <c r="IIP68" s="143"/>
      <c r="IIQ68" s="145"/>
      <c r="IIR68" s="146"/>
      <c r="IIS68" s="147"/>
      <c r="IIT68"/>
      <c r="IIU68" s="148"/>
      <c r="IIV68"/>
      <c r="IIW68" s="140"/>
      <c r="IIX68" s="149"/>
      <c r="IIY68"/>
      <c r="IIZ68" s="142"/>
      <c r="IJA68" s="143"/>
      <c r="IJB68" s="144"/>
      <c r="IJC68" s="144"/>
      <c r="IJD68" s="143"/>
      <c r="IJE68" s="145"/>
      <c r="IJF68" s="143"/>
      <c r="IJG68" s="145"/>
      <c r="IJH68" s="146"/>
      <c r="IJI68" s="147"/>
      <c r="IJJ68"/>
      <c r="IJK68" s="148"/>
      <c r="IJL68"/>
      <c r="IJM68" s="140"/>
      <c r="IJN68" s="149"/>
      <c r="IJO68"/>
      <c r="IJP68" s="142"/>
      <c r="IJQ68" s="143"/>
      <c r="IJR68" s="144"/>
      <c r="IJS68" s="144"/>
      <c r="IJT68" s="143"/>
      <c r="IJU68" s="145"/>
      <c r="IJV68" s="143"/>
      <c r="IJW68" s="145"/>
      <c r="IJX68" s="146"/>
      <c r="IJY68" s="147"/>
      <c r="IJZ68"/>
      <c r="IKA68" s="148"/>
      <c r="IKB68"/>
      <c r="IKC68" s="140"/>
      <c r="IKD68" s="149"/>
      <c r="IKE68"/>
      <c r="IKF68" s="142"/>
      <c r="IKG68" s="143"/>
      <c r="IKH68" s="144"/>
      <c r="IKI68" s="144"/>
      <c r="IKJ68" s="143"/>
      <c r="IKK68" s="145"/>
      <c r="IKL68" s="143"/>
      <c r="IKM68" s="145"/>
      <c r="IKN68" s="146"/>
      <c r="IKO68" s="147"/>
      <c r="IKP68"/>
      <c r="IKQ68" s="148"/>
      <c r="IKR68"/>
      <c r="IKS68" s="140"/>
      <c r="IKT68" s="149"/>
      <c r="IKU68"/>
      <c r="IKV68" s="142"/>
      <c r="IKW68" s="143"/>
      <c r="IKX68" s="144"/>
      <c r="IKY68" s="144"/>
      <c r="IKZ68" s="143"/>
      <c r="ILA68" s="145"/>
      <c r="ILB68" s="143"/>
      <c r="ILC68" s="145"/>
      <c r="ILD68" s="146"/>
      <c r="ILE68" s="147"/>
      <c r="ILF68"/>
      <c r="ILG68" s="148"/>
      <c r="ILH68"/>
      <c r="ILI68" s="140"/>
      <c r="ILJ68" s="149"/>
      <c r="ILK68"/>
      <c r="ILL68" s="142"/>
      <c r="ILM68" s="143"/>
      <c r="ILN68" s="144"/>
      <c r="ILO68" s="144"/>
      <c r="ILP68" s="143"/>
      <c r="ILQ68" s="145"/>
      <c r="ILR68" s="143"/>
      <c r="ILS68" s="145"/>
      <c r="ILT68" s="146"/>
      <c r="ILU68" s="147"/>
      <c r="ILV68"/>
      <c r="ILW68" s="148"/>
      <c r="ILX68"/>
      <c r="ILY68" s="140"/>
      <c r="ILZ68" s="149"/>
      <c r="IMA68"/>
      <c r="IMB68" s="142"/>
      <c r="IMC68" s="143"/>
      <c r="IMD68" s="144"/>
      <c r="IME68" s="144"/>
      <c r="IMF68" s="143"/>
      <c r="IMG68" s="145"/>
      <c r="IMH68" s="143"/>
      <c r="IMI68" s="145"/>
      <c r="IMJ68" s="146"/>
      <c r="IMK68" s="147"/>
      <c r="IML68"/>
      <c r="IMM68" s="148"/>
      <c r="IMN68"/>
      <c r="IMO68" s="140"/>
      <c r="IMP68" s="149"/>
      <c r="IMQ68"/>
      <c r="IMR68" s="142"/>
      <c r="IMS68" s="143"/>
      <c r="IMT68" s="144"/>
      <c r="IMU68" s="144"/>
      <c r="IMV68" s="143"/>
      <c r="IMW68" s="145"/>
      <c r="IMX68" s="143"/>
      <c r="IMY68" s="145"/>
      <c r="IMZ68" s="146"/>
      <c r="INA68" s="147"/>
      <c r="INB68"/>
      <c r="INC68" s="148"/>
      <c r="IND68"/>
      <c r="INE68" s="140"/>
      <c r="INF68" s="149"/>
      <c r="ING68"/>
      <c r="INH68" s="142"/>
      <c r="INI68" s="143"/>
      <c r="INJ68" s="144"/>
      <c r="INK68" s="144"/>
      <c r="INL68" s="143"/>
      <c r="INM68" s="145"/>
      <c r="INN68" s="143"/>
      <c r="INO68" s="145"/>
      <c r="INP68" s="146"/>
      <c r="INQ68" s="147"/>
      <c r="INR68"/>
      <c r="INS68" s="148"/>
      <c r="INT68"/>
      <c r="INU68" s="140"/>
      <c r="INV68" s="149"/>
      <c r="INW68"/>
      <c r="INX68" s="142"/>
      <c r="INY68" s="143"/>
      <c r="INZ68" s="144"/>
      <c r="IOA68" s="144"/>
      <c r="IOB68" s="143"/>
      <c r="IOC68" s="145"/>
      <c r="IOD68" s="143"/>
      <c r="IOE68" s="145"/>
      <c r="IOF68" s="146"/>
      <c r="IOG68" s="147"/>
      <c r="IOH68"/>
      <c r="IOI68" s="148"/>
      <c r="IOJ68"/>
      <c r="IOK68" s="140"/>
      <c r="IOL68" s="149"/>
      <c r="IOM68"/>
      <c r="ION68" s="142"/>
      <c r="IOO68" s="143"/>
      <c r="IOP68" s="144"/>
      <c r="IOQ68" s="144"/>
      <c r="IOR68" s="143"/>
      <c r="IOS68" s="145"/>
      <c r="IOT68" s="143"/>
      <c r="IOU68" s="145"/>
      <c r="IOV68" s="146"/>
      <c r="IOW68" s="147"/>
      <c r="IOX68"/>
      <c r="IOY68" s="148"/>
      <c r="IOZ68"/>
      <c r="IPA68" s="140"/>
      <c r="IPB68" s="149"/>
      <c r="IPC68"/>
      <c r="IPD68" s="142"/>
      <c r="IPE68" s="143"/>
      <c r="IPF68" s="144"/>
      <c r="IPG68" s="144"/>
      <c r="IPH68" s="143"/>
      <c r="IPI68" s="145"/>
      <c r="IPJ68" s="143"/>
      <c r="IPK68" s="145"/>
      <c r="IPL68" s="146"/>
      <c r="IPM68" s="147"/>
      <c r="IPN68"/>
      <c r="IPO68" s="148"/>
      <c r="IPP68"/>
      <c r="IPQ68" s="140"/>
      <c r="IPR68" s="149"/>
      <c r="IPS68"/>
      <c r="IPT68" s="142"/>
      <c r="IPU68" s="143"/>
      <c r="IPV68" s="144"/>
      <c r="IPW68" s="144"/>
      <c r="IPX68" s="143"/>
      <c r="IPY68" s="145"/>
      <c r="IPZ68" s="143"/>
      <c r="IQA68" s="145"/>
      <c r="IQB68" s="146"/>
      <c r="IQC68" s="147"/>
      <c r="IQD68"/>
      <c r="IQE68" s="148"/>
      <c r="IQF68"/>
      <c r="IQG68" s="140"/>
      <c r="IQH68" s="149"/>
      <c r="IQI68"/>
      <c r="IQJ68" s="142"/>
      <c r="IQK68" s="143"/>
      <c r="IQL68" s="144"/>
      <c r="IQM68" s="144"/>
      <c r="IQN68" s="143"/>
      <c r="IQO68" s="145"/>
      <c r="IQP68" s="143"/>
      <c r="IQQ68" s="145"/>
      <c r="IQR68" s="146"/>
      <c r="IQS68" s="147"/>
      <c r="IQT68"/>
      <c r="IQU68" s="148"/>
      <c r="IQV68"/>
      <c r="IQW68" s="140"/>
      <c r="IQX68" s="149"/>
      <c r="IQY68"/>
      <c r="IQZ68" s="142"/>
      <c r="IRA68" s="143"/>
      <c r="IRB68" s="144"/>
      <c r="IRC68" s="144"/>
      <c r="IRD68" s="143"/>
      <c r="IRE68" s="145"/>
      <c r="IRF68" s="143"/>
      <c r="IRG68" s="145"/>
      <c r="IRH68" s="146"/>
      <c r="IRI68" s="147"/>
      <c r="IRJ68"/>
      <c r="IRK68" s="148"/>
      <c r="IRL68"/>
      <c r="IRM68" s="140"/>
      <c r="IRN68" s="149"/>
      <c r="IRO68"/>
      <c r="IRP68" s="142"/>
      <c r="IRQ68" s="143"/>
      <c r="IRR68" s="144"/>
      <c r="IRS68" s="144"/>
      <c r="IRT68" s="143"/>
      <c r="IRU68" s="145"/>
      <c r="IRV68" s="143"/>
      <c r="IRW68" s="145"/>
      <c r="IRX68" s="146"/>
      <c r="IRY68" s="147"/>
      <c r="IRZ68"/>
      <c r="ISA68" s="148"/>
      <c r="ISB68"/>
      <c r="ISC68" s="140"/>
      <c r="ISD68" s="149"/>
      <c r="ISE68"/>
      <c r="ISF68" s="142"/>
      <c r="ISG68" s="143"/>
      <c r="ISH68" s="144"/>
      <c r="ISI68" s="144"/>
      <c r="ISJ68" s="143"/>
      <c r="ISK68" s="145"/>
      <c r="ISL68" s="143"/>
      <c r="ISM68" s="145"/>
      <c r="ISN68" s="146"/>
      <c r="ISO68" s="147"/>
      <c r="ISP68"/>
      <c r="ISQ68" s="148"/>
      <c r="ISR68"/>
      <c r="ISS68" s="140"/>
      <c r="IST68" s="149"/>
      <c r="ISU68"/>
      <c r="ISV68" s="142"/>
      <c r="ISW68" s="143"/>
      <c r="ISX68" s="144"/>
      <c r="ISY68" s="144"/>
      <c r="ISZ68" s="143"/>
      <c r="ITA68" s="145"/>
      <c r="ITB68" s="143"/>
      <c r="ITC68" s="145"/>
      <c r="ITD68" s="146"/>
      <c r="ITE68" s="147"/>
      <c r="ITF68"/>
      <c r="ITG68" s="148"/>
      <c r="ITH68"/>
      <c r="ITI68" s="140"/>
      <c r="ITJ68" s="149"/>
      <c r="ITK68"/>
      <c r="ITL68" s="142"/>
      <c r="ITM68" s="143"/>
      <c r="ITN68" s="144"/>
      <c r="ITO68" s="144"/>
      <c r="ITP68" s="143"/>
      <c r="ITQ68" s="145"/>
      <c r="ITR68" s="143"/>
      <c r="ITS68" s="145"/>
      <c r="ITT68" s="146"/>
      <c r="ITU68" s="147"/>
      <c r="ITV68"/>
      <c r="ITW68" s="148"/>
      <c r="ITX68"/>
      <c r="ITY68" s="140"/>
      <c r="ITZ68" s="149"/>
      <c r="IUA68"/>
      <c r="IUB68" s="142"/>
      <c r="IUC68" s="143"/>
      <c r="IUD68" s="144"/>
      <c r="IUE68" s="144"/>
      <c r="IUF68" s="143"/>
      <c r="IUG68" s="145"/>
      <c r="IUH68" s="143"/>
      <c r="IUI68" s="145"/>
      <c r="IUJ68" s="146"/>
      <c r="IUK68" s="147"/>
      <c r="IUL68"/>
      <c r="IUM68" s="148"/>
      <c r="IUN68"/>
      <c r="IUO68" s="140"/>
      <c r="IUP68" s="149"/>
      <c r="IUQ68"/>
      <c r="IUR68" s="142"/>
      <c r="IUS68" s="143"/>
      <c r="IUT68" s="144"/>
      <c r="IUU68" s="144"/>
      <c r="IUV68" s="143"/>
      <c r="IUW68" s="145"/>
      <c r="IUX68" s="143"/>
      <c r="IUY68" s="145"/>
      <c r="IUZ68" s="146"/>
      <c r="IVA68" s="147"/>
      <c r="IVB68"/>
      <c r="IVC68" s="148"/>
      <c r="IVD68"/>
      <c r="IVE68" s="140"/>
      <c r="IVF68" s="149"/>
      <c r="IVG68"/>
      <c r="IVH68" s="142"/>
      <c r="IVI68" s="143"/>
      <c r="IVJ68" s="144"/>
      <c r="IVK68" s="144"/>
      <c r="IVL68" s="143"/>
      <c r="IVM68" s="145"/>
      <c r="IVN68" s="143"/>
      <c r="IVO68" s="145"/>
      <c r="IVP68" s="146"/>
      <c r="IVQ68" s="147"/>
      <c r="IVR68"/>
      <c r="IVS68" s="148"/>
      <c r="IVT68"/>
      <c r="IVU68" s="140"/>
      <c r="IVV68" s="149"/>
      <c r="IVW68"/>
      <c r="IVX68" s="142"/>
      <c r="IVY68" s="143"/>
      <c r="IVZ68" s="144"/>
      <c r="IWA68" s="144"/>
      <c r="IWB68" s="143"/>
      <c r="IWC68" s="145"/>
      <c r="IWD68" s="143"/>
      <c r="IWE68" s="145"/>
      <c r="IWF68" s="146"/>
      <c r="IWG68" s="147"/>
      <c r="IWH68"/>
      <c r="IWI68" s="148"/>
      <c r="IWJ68"/>
      <c r="IWK68" s="140"/>
      <c r="IWL68" s="149"/>
      <c r="IWM68"/>
      <c r="IWN68" s="142"/>
      <c r="IWO68" s="143"/>
      <c r="IWP68" s="144"/>
      <c r="IWQ68" s="144"/>
      <c r="IWR68" s="143"/>
      <c r="IWS68" s="145"/>
      <c r="IWT68" s="143"/>
      <c r="IWU68" s="145"/>
      <c r="IWV68" s="146"/>
      <c r="IWW68" s="147"/>
      <c r="IWX68"/>
      <c r="IWY68" s="148"/>
      <c r="IWZ68"/>
      <c r="IXA68" s="140"/>
      <c r="IXB68" s="149"/>
      <c r="IXC68"/>
      <c r="IXD68" s="142"/>
      <c r="IXE68" s="143"/>
      <c r="IXF68" s="144"/>
      <c r="IXG68" s="144"/>
      <c r="IXH68" s="143"/>
      <c r="IXI68" s="145"/>
      <c r="IXJ68" s="143"/>
      <c r="IXK68" s="145"/>
      <c r="IXL68" s="146"/>
      <c r="IXM68" s="147"/>
      <c r="IXN68"/>
      <c r="IXO68" s="148"/>
      <c r="IXP68"/>
      <c r="IXQ68" s="140"/>
      <c r="IXR68" s="149"/>
      <c r="IXS68"/>
      <c r="IXT68" s="142"/>
      <c r="IXU68" s="143"/>
      <c r="IXV68" s="144"/>
      <c r="IXW68" s="144"/>
      <c r="IXX68" s="143"/>
      <c r="IXY68" s="145"/>
      <c r="IXZ68" s="143"/>
      <c r="IYA68" s="145"/>
      <c r="IYB68" s="146"/>
      <c r="IYC68" s="147"/>
      <c r="IYD68"/>
      <c r="IYE68" s="148"/>
      <c r="IYF68"/>
      <c r="IYG68" s="140"/>
      <c r="IYH68" s="149"/>
      <c r="IYI68"/>
      <c r="IYJ68" s="142"/>
      <c r="IYK68" s="143"/>
      <c r="IYL68" s="144"/>
      <c r="IYM68" s="144"/>
      <c r="IYN68" s="143"/>
      <c r="IYO68" s="145"/>
      <c r="IYP68" s="143"/>
      <c r="IYQ68" s="145"/>
      <c r="IYR68" s="146"/>
      <c r="IYS68" s="147"/>
      <c r="IYT68"/>
      <c r="IYU68" s="148"/>
      <c r="IYV68"/>
      <c r="IYW68" s="140"/>
      <c r="IYX68" s="149"/>
      <c r="IYY68"/>
      <c r="IYZ68" s="142"/>
      <c r="IZA68" s="143"/>
      <c r="IZB68" s="144"/>
      <c r="IZC68" s="144"/>
      <c r="IZD68" s="143"/>
      <c r="IZE68" s="145"/>
      <c r="IZF68" s="143"/>
      <c r="IZG68" s="145"/>
      <c r="IZH68" s="146"/>
      <c r="IZI68" s="147"/>
      <c r="IZJ68"/>
      <c r="IZK68" s="148"/>
      <c r="IZL68"/>
      <c r="IZM68" s="140"/>
      <c r="IZN68" s="149"/>
      <c r="IZO68"/>
      <c r="IZP68" s="142"/>
      <c r="IZQ68" s="143"/>
      <c r="IZR68" s="144"/>
      <c r="IZS68" s="144"/>
      <c r="IZT68" s="143"/>
      <c r="IZU68" s="145"/>
      <c r="IZV68" s="143"/>
      <c r="IZW68" s="145"/>
      <c r="IZX68" s="146"/>
      <c r="IZY68" s="147"/>
      <c r="IZZ68"/>
      <c r="JAA68" s="148"/>
      <c r="JAB68"/>
      <c r="JAC68" s="140"/>
      <c r="JAD68" s="149"/>
      <c r="JAE68"/>
      <c r="JAF68" s="142"/>
      <c r="JAG68" s="143"/>
      <c r="JAH68" s="144"/>
      <c r="JAI68" s="144"/>
      <c r="JAJ68" s="143"/>
      <c r="JAK68" s="145"/>
      <c r="JAL68" s="143"/>
      <c r="JAM68" s="145"/>
      <c r="JAN68" s="146"/>
      <c r="JAO68" s="147"/>
      <c r="JAP68"/>
      <c r="JAQ68" s="148"/>
      <c r="JAR68"/>
      <c r="JAS68" s="140"/>
      <c r="JAT68" s="149"/>
      <c r="JAU68"/>
      <c r="JAV68" s="142"/>
      <c r="JAW68" s="143"/>
      <c r="JAX68" s="144"/>
      <c r="JAY68" s="144"/>
      <c r="JAZ68" s="143"/>
      <c r="JBA68" s="145"/>
      <c r="JBB68" s="143"/>
      <c r="JBC68" s="145"/>
      <c r="JBD68" s="146"/>
      <c r="JBE68" s="147"/>
      <c r="JBF68"/>
      <c r="JBG68" s="148"/>
      <c r="JBH68"/>
      <c r="JBI68" s="140"/>
      <c r="JBJ68" s="149"/>
      <c r="JBK68"/>
      <c r="JBL68" s="142"/>
      <c r="JBM68" s="143"/>
      <c r="JBN68" s="144"/>
      <c r="JBO68" s="144"/>
      <c r="JBP68" s="143"/>
      <c r="JBQ68" s="145"/>
      <c r="JBR68" s="143"/>
      <c r="JBS68" s="145"/>
      <c r="JBT68" s="146"/>
      <c r="JBU68" s="147"/>
      <c r="JBV68"/>
      <c r="JBW68" s="148"/>
      <c r="JBX68"/>
      <c r="JBY68" s="140"/>
      <c r="JBZ68" s="149"/>
      <c r="JCA68"/>
      <c r="JCB68" s="142"/>
      <c r="JCC68" s="143"/>
      <c r="JCD68" s="144"/>
      <c r="JCE68" s="144"/>
      <c r="JCF68" s="143"/>
      <c r="JCG68" s="145"/>
      <c r="JCH68" s="143"/>
      <c r="JCI68" s="145"/>
      <c r="JCJ68" s="146"/>
      <c r="JCK68" s="147"/>
      <c r="JCL68"/>
      <c r="JCM68" s="148"/>
      <c r="JCN68"/>
      <c r="JCO68" s="140"/>
      <c r="JCP68" s="149"/>
      <c r="JCQ68"/>
      <c r="JCR68" s="142"/>
      <c r="JCS68" s="143"/>
      <c r="JCT68" s="144"/>
      <c r="JCU68" s="144"/>
      <c r="JCV68" s="143"/>
      <c r="JCW68" s="145"/>
      <c r="JCX68" s="143"/>
      <c r="JCY68" s="145"/>
      <c r="JCZ68" s="146"/>
      <c r="JDA68" s="147"/>
      <c r="JDB68"/>
      <c r="JDC68" s="148"/>
      <c r="JDD68"/>
      <c r="JDE68" s="140"/>
      <c r="JDF68" s="149"/>
      <c r="JDG68"/>
      <c r="JDH68" s="142"/>
      <c r="JDI68" s="143"/>
      <c r="JDJ68" s="144"/>
      <c r="JDK68" s="144"/>
      <c r="JDL68" s="143"/>
      <c r="JDM68" s="145"/>
      <c r="JDN68" s="143"/>
      <c r="JDO68" s="145"/>
      <c r="JDP68" s="146"/>
      <c r="JDQ68" s="147"/>
      <c r="JDR68"/>
      <c r="JDS68" s="148"/>
      <c r="JDT68"/>
      <c r="JDU68" s="140"/>
      <c r="JDV68" s="149"/>
      <c r="JDW68"/>
      <c r="JDX68" s="142"/>
      <c r="JDY68" s="143"/>
      <c r="JDZ68" s="144"/>
      <c r="JEA68" s="144"/>
      <c r="JEB68" s="143"/>
      <c r="JEC68" s="145"/>
      <c r="JED68" s="143"/>
      <c r="JEE68" s="145"/>
      <c r="JEF68" s="146"/>
      <c r="JEG68" s="147"/>
      <c r="JEH68"/>
      <c r="JEI68" s="148"/>
      <c r="JEJ68"/>
      <c r="JEK68" s="140"/>
      <c r="JEL68" s="149"/>
      <c r="JEM68"/>
      <c r="JEN68" s="142"/>
      <c r="JEO68" s="143"/>
      <c r="JEP68" s="144"/>
      <c r="JEQ68" s="144"/>
      <c r="JER68" s="143"/>
      <c r="JES68" s="145"/>
      <c r="JET68" s="143"/>
      <c r="JEU68" s="145"/>
      <c r="JEV68" s="146"/>
      <c r="JEW68" s="147"/>
      <c r="JEX68"/>
      <c r="JEY68" s="148"/>
      <c r="JEZ68"/>
      <c r="JFA68" s="140"/>
      <c r="JFB68" s="149"/>
      <c r="JFC68"/>
      <c r="JFD68" s="142"/>
      <c r="JFE68" s="143"/>
      <c r="JFF68" s="144"/>
      <c r="JFG68" s="144"/>
      <c r="JFH68" s="143"/>
      <c r="JFI68" s="145"/>
      <c r="JFJ68" s="143"/>
      <c r="JFK68" s="145"/>
      <c r="JFL68" s="146"/>
      <c r="JFM68" s="147"/>
      <c r="JFN68"/>
      <c r="JFO68" s="148"/>
      <c r="JFP68"/>
      <c r="JFQ68" s="140"/>
      <c r="JFR68" s="149"/>
      <c r="JFS68"/>
      <c r="JFT68" s="142"/>
      <c r="JFU68" s="143"/>
      <c r="JFV68" s="144"/>
      <c r="JFW68" s="144"/>
      <c r="JFX68" s="143"/>
      <c r="JFY68" s="145"/>
      <c r="JFZ68" s="143"/>
      <c r="JGA68" s="145"/>
      <c r="JGB68" s="146"/>
      <c r="JGC68" s="147"/>
      <c r="JGD68"/>
      <c r="JGE68" s="148"/>
      <c r="JGF68"/>
      <c r="JGG68" s="140"/>
      <c r="JGH68" s="149"/>
      <c r="JGI68"/>
      <c r="JGJ68" s="142"/>
      <c r="JGK68" s="143"/>
      <c r="JGL68" s="144"/>
      <c r="JGM68" s="144"/>
      <c r="JGN68" s="143"/>
      <c r="JGO68" s="145"/>
      <c r="JGP68" s="143"/>
      <c r="JGQ68" s="145"/>
      <c r="JGR68" s="146"/>
      <c r="JGS68" s="147"/>
      <c r="JGT68"/>
      <c r="JGU68" s="148"/>
      <c r="JGV68"/>
      <c r="JGW68" s="140"/>
      <c r="JGX68" s="149"/>
      <c r="JGY68"/>
      <c r="JGZ68" s="142"/>
      <c r="JHA68" s="143"/>
      <c r="JHB68" s="144"/>
      <c r="JHC68" s="144"/>
      <c r="JHD68" s="143"/>
      <c r="JHE68" s="145"/>
      <c r="JHF68" s="143"/>
      <c r="JHG68" s="145"/>
      <c r="JHH68" s="146"/>
      <c r="JHI68" s="147"/>
      <c r="JHJ68"/>
      <c r="JHK68" s="148"/>
      <c r="JHL68"/>
      <c r="JHM68" s="140"/>
      <c r="JHN68" s="149"/>
      <c r="JHO68"/>
      <c r="JHP68" s="142"/>
      <c r="JHQ68" s="143"/>
      <c r="JHR68" s="144"/>
      <c r="JHS68" s="144"/>
      <c r="JHT68" s="143"/>
      <c r="JHU68" s="145"/>
      <c r="JHV68" s="143"/>
      <c r="JHW68" s="145"/>
      <c r="JHX68" s="146"/>
      <c r="JHY68" s="147"/>
      <c r="JHZ68"/>
      <c r="JIA68" s="148"/>
      <c r="JIB68"/>
      <c r="JIC68" s="140"/>
      <c r="JID68" s="149"/>
      <c r="JIE68"/>
      <c r="JIF68" s="142"/>
      <c r="JIG68" s="143"/>
      <c r="JIH68" s="144"/>
      <c r="JII68" s="144"/>
      <c r="JIJ68" s="143"/>
      <c r="JIK68" s="145"/>
      <c r="JIL68" s="143"/>
      <c r="JIM68" s="145"/>
      <c r="JIN68" s="146"/>
      <c r="JIO68" s="147"/>
      <c r="JIP68"/>
      <c r="JIQ68" s="148"/>
      <c r="JIR68"/>
      <c r="JIS68" s="140"/>
      <c r="JIT68" s="149"/>
      <c r="JIU68"/>
      <c r="JIV68" s="142"/>
      <c r="JIW68" s="143"/>
      <c r="JIX68" s="144"/>
      <c r="JIY68" s="144"/>
      <c r="JIZ68" s="143"/>
      <c r="JJA68" s="145"/>
      <c r="JJB68" s="143"/>
      <c r="JJC68" s="145"/>
      <c r="JJD68" s="146"/>
      <c r="JJE68" s="147"/>
      <c r="JJF68"/>
      <c r="JJG68" s="148"/>
      <c r="JJH68"/>
      <c r="JJI68" s="140"/>
      <c r="JJJ68" s="149"/>
      <c r="JJK68"/>
      <c r="JJL68" s="142"/>
      <c r="JJM68" s="143"/>
      <c r="JJN68" s="144"/>
      <c r="JJO68" s="144"/>
      <c r="JJP68" s="143"/>
      <c r="JJQ68" s="145"/>
      <c r="JJR68" s="143"/>
      <c r="JJS68" s="145"/>
      <c r="JJT68" s="146"/>
      <c r="JJU68" s="147"/>
      <c r="JJV68"/>
      <c r="JJW68" s="148"/>
      <c r="JJX68"/>
      <c r="JJY68" s="140"/>
      <c r="JJZ68" s="149"/>
      <c r="JKA68"/>
      <c r="JKB68" s="142"/>
      <c r="JKC68" s="143"/>
      <c r="JKD68" s="144"/>
      <c r="JKE68" s="144"/>
      <c r="JKF68" s="143"/>
      <c r="JKG68" s="145"/>
      <c r="JKH68" s="143"/>
      <c r="JKI68" s="145"/>
      <c r="JKJ68" s="146"/>
      <c r="JKK68" s="147"/>
      <c r="JKL68"/>
      <c r="JKM68" s="148"/>
      <c r="JKN68"/>
      <c r="JKO68" s="140"/>
      <c r="JKP68" s="149"/>
      <c r="JKQ68"/>
      <c r="JKR68" s="142"/>
      <c r="JKS68" s="143"/>
      <c r="JKT68" s="144"/>
      <c r="JKU68" s="144"/>
      <c r="JKV68" s="143"/>
      <c r="JKW68" s="145"/>
      <c r="JKX68" s="143"/>
      <c r="JKY68" s="145"/>
      <c r="JKZ68" s="146"/>
      <c r="JLA68" s="147"/>
      <c r="JLB68"/>
      <c r="JLC68" s="148"/>
      <c r="JLD68"/>
      <c r="JLE68" s="140"/>
      <c r="JLF68" s="149"/>
      <c r="JLG68"/>
      <c r="JLH68" s="142"/>
      <c r="JLI68" s="143"/>
      <c r="JLJ68" s="144"/>
      <c r="JLK68" s="144"/>
      <c r="JLL68" s="143"/>
      <c r="JLM68" s="145"/>
      <c r="JLN68" s="143"/>
      <c r="JLO68" s="145"/>
      <c r="JLP68" s="146"/>
      <c r="JLQ68" s="147"/>
      <c r="JLR68"/>
      <c r="JLS68" s="148"/>
      <c r="JLT68"/>
      <c r="JLU68" s="140"/>
      <c r="JLV68" s="149"/>
      <c r="JLW68"/>
      <c r="JLX68" s="142"/>
      <c r="JLY68" s="143"/>
      <c r="JLZ68" s="144"/>
      <c r="JMA68" s="144"/>
      <c r="JMB68" s="143"/>
      <c r="JMC68" s="145"/>
      <c r="JMD68" s="143"/>
      <c r="JME68" s="145"/>
      <c r="JMF68" s="146"/>
      <c r="JMG68" s="147"/>
      <c r="JMH68"/>
      <c r="JMI68" s="148"/>
      <c r="JMJ68"/>
      <c r="JMK68" s="140"/>
      <c r="JML68" s="149"/>
      <c r="JMM68"/>
      <c r="JMN68" s="142"/>
      <c r="JMO68" s="143"/>
      <c r="JMP68" s="144"/>
      <c r="JMQ68" s="144"/>
      <c r="JMR68" s="143"/>
      <c r="JMS68" s="145"/>
      <c r="JMT68" s="143"/>
      <c r="JMU68" s="145"/>
      <c r="JMV68" s="146"/>
      <c r="JMW68" s="147"/>
      <c r="JMX68"/>
      <c r="JMY68" s="148"/>
      <c r="JMZ68"/>
      <c r="JNA68" s="140"/>
      <c r="JNB68" s="149"/>
      <c r="JNC68"/>
      <c r="JND68" s="142"/>
      <c r="JNE68" s="143"/>
      <c r="JNF68" s="144"/>
      <c r="JNG68" s="144"/>
      <c r="JNH68" s="143"/>
      <c r="JNI68" s="145"/>
      <c r="JNJ68" s="143"/>
      <c r="JNK68" s="145"/>
      <c r="JNL68" s="146"/>
      <c r="JNM68" s="147"/>
      <c r="JNN68"/>
      <c r="JNO68" s="148"/>
      <c r="JNP68"/>
      <c r="JNQ68" s="140"/>
      <c r="JNR68" s="149"/>
      <c r="JNS68"/>
      <c r="JNT68" s="142"/>
      <c r="JNU68" s="143"/>
      <c r="JNV68" s="144"/>
      <c r="JNW68" s="144"/>
      <c r="JNX68" s="143"/>
      <c r="JNY68" s="145"/>
      <c r="JNZ68" s="143"/>
      <c r="JOA68" s="145"/>
      <c r="JOB68" s="146"/>
      <c r="JOC68" s="147"/>
      <c r="JOD68"/>
      <c r="JOE68" s="148"/>
      <c r="JOF68"/>
      <c r="JOG68" s="140"/>
      <c r="JOH68" s="149"/>
      <c r="JOI68"/>
      <c r="JOJ68" s="142"/>
      <c r="JOK68" s="143"/>
      <c r="JOL68" s="144"/>
      <c r="JOM68" s="144"/>
      <c r="JON68" s="143"/>
      <c r="JOO68" s="145"/>
      <c r="JOP68" s="143"/>
      <c r="JOQ68" s="145"/>
      <c r="JOR68" s="146"/>
      <c r="JOS68" s="147"/>
      <c r="JOT68"/>
      <c r="JOU68" s="148"/>
      <c r="JOV68"/>
      <c r="JOW68" s="140"/>
      <c r="JOX68" s="149"/>
      <c r="JOY68"/>
      <c r="JOZ68" s="142"/>
      <c r="JPA68" s="143"/>
      <c r="JPB68" s="144"/>
      <c r="JPC68" s="144"/>
      <c r="JPD68" s="143"/>
      <c r="JPE68" s="145"/>
      <c r="JPF68" s="143"/>
      <c r="JPG68" s="145"/>
      <c r="JPH68" s="146"/>
      <c r="JPI68" s="147"/>
      <c r="JPJ68"/>
      <c r="JPK68" s="148"/>
      <c r="JPL68"/>
      <c r="JPM68" s="140"/>
      <c r="JPN68" s="149"/>
      <c r="JPO68"/>
      <c r="JPP68" s="142"/>
      <c r="JPQ68" s="143"/>
      <c r="JPR68" s="144"/>
      <c r="JPS68" s="144"/>
      <c r="JPT68" s="143"/>
      <c r="JPU68" s="145"/>
      <c r="JPV68" s="143"/>
      <c r="JPW68" s="145"/>
      <c r="JPX68" s="146"/>
      <c r="JPY68" s="147"/>
      <c r="JPZ68"/>
      <c r="JQA68" s="148"/>
      <c r="JQB68"/>
      <c r="JQC68" s="140"/>
      <c r="JQD68" s="149"/>
      <c r="JQE68"/>
      <c r="JQF68" s="142"/>
      <c r="JQG68" s="143"/>
      <c r="JQH68" s="144"/>
      <c r="JQI68" s="144"/>
      <c r="JQJ68" s="143"/>
      <c r="JQK68" s="145"/>
      <c r="JQL68" s="143"/>
      <c r="JQM68" s="145"/>
      <c r="JQN68" s="146"/>
      <c r="JQO68" s="147"/>
      <c r="JQP68"/>
      <c r="JQQ68" s="148"/>
      <c r="JQR68"/>
      <c r="JQS68" s="140"/>
      <c r="JQT68" s="149"/>
      <c r="JQU68"/>
      <c r="JQV68" s="142"/>
      <c r="JQW68" s="143"/>
      <c r="JQX68" s="144"/>
      <c r="JQY68" s="144"/>
      <c r="JQZ68" s="143"/>
      <c r="JRA68" s="145"/>
      <c r="JRB68" s="143"/>
      <c r="JRC68" s="145"/>
      <c r="JRD68" s="146"/>
      <c r="JRE68" s="147"/>
      <c r="JRF68"/>
      <c r="JRG68" s="148"/>
      <c r="JRH68"/>
      <c r="JRI68" s="140"/>
      <c r="JRJ68" s="149"/>
      <c r="JRK68"/>
      <c r="JRL68" s="142"/>
      <c r="JRM68" s="143"/>
      <c r="JRN68" s="144"/>
      <c r="JRO68" s="144"/>
      <c r="JRP68" s="143"/>
      <c r="JRQ68" s="145"/>
      <c r="JRR68" s="143"/>
      <c r="JRS68" s="145"/>
      <c r="JRT68" s="146"/>
      <c r="JRU68" s="147"/>
      <c r="JRV68"/>
      <c r="JRW68" s="148"/>
      <c r="JRX68"/>
      <c r="JRY68" s="140"/>
      <c r="JRZ68" s="149"/>
      <c r="JSA68"/>
      <c r="JSB68" s="142"/>
      <c r="JSC68" s="143"/>
      <c r="JSD68" s="144"/>
      <c r="JSE68" s="144"/>
      <c r="JSF68" s="143"/>
      <c r="JSG68" s="145"/>
      <c r="JSH68" s="143"/>
      <c r="JSI68" s="145"/>
      <c r="JSJ68" s="146"/>
      <c r="JSK68" s="147"/>
      <c r="JSL68"/>
      <c r="JSM68" s="148"/>
      <c r="JSN68"/>
      <c r="JSO68" s="140"/>
      <c r="JSP68" s="149"/>
      <c r="JSQ68"/>
      <c r="JSR68" s="142"/>
      <c r="JSS68" s="143"/>
      <c r="JST68" s="144"/>
      <c r="JSU68" s="144"/>
      <c r="JSV68" s="143"/>
      <c r="JSW68" s="145"/>
      <c r="JSX68" s="143"/>
      <c r="JSY68" s="145"/>
      <c r="JSZ68" s="146"/>
      <c r="JTA68" s="147"/>
      <c r="JTB68"/>
      <c r="JTC68" s="148"/>
      <c r="JTD68"/>
      <c r="JTE68" s="140"/>
      <c r="JTF68" s="149"/>
      <c r="JTG68"/>
      <c r="JTH68" s="142"/>
      <c r="JTI68" s="143"/>
      <c r="JTJ68" s="144"/>
      <c r="JTK68" s="144"/>
      <c r="JTL68" s="143"/>
      <c r="JTM68" s="145"/>
      <c r="JTN68" s="143"/>
      <c r="JTO68" s="145"/>
      <c r="JTP68" s="146"/>
      <c r="JTQ68" s="147"/>
      <c r="JTR68"/>
      <c r="JTS68" s="148"/>
      <c r="JTT68"/>
      <c r="JTU68" s="140"/>
      <c r="JTV68" s="149"/>
      <c r="JTW68"/>
      <c r="JTX68" s="142"/>
      <c r="JTY68" s="143"/>
      <c r="JTZ68" s="144"/>
      <c r="JUA68" s="144"/>
      <c r="JUB68" s="143"/>
      <c r="JUC68" s="145"/>
      <c r="JUD68" s="143"/>
      <c r="JUE68" s="145"/>
      <c r="JUF68" s="146"/>
      <c r="JUG68" s="147"/>
      <c r="JUH68"/>
      <c r="JUI68" s="148"/>
      <c r="JUJ68"/>
      <c r="JUK68" s="140"/>
      <c r="JUL68" s="149"/>
      <c r="JUM68"/>
      <c r="JUN68" s="142"/>
      <c r="JUO68" s="143"/>
      <c r="JUP68" s="144"/>
      <c r="JUQ68" s="144"/>
      <c r="JUR68" s="143"/>
      <c r="JUS68" s="145"/>
      <c r="JUT68" s="143"/>
      <c r="JUU68" s="145"/>
      <c r="JUV68" s="146"/>
      <c r="JUW68" s="147"/>
      <c r="JUX68"/>
      <c r="JUY68" s="148"/>
      <c r="JUZ68"/>
      <c r="JVA68" s="140"/>
      <c r="JVB68" s="149"/>
      <c r="JVC68"/>
      <c r="JVD68" s="142"/>
      <c r="JVE68" s="143"/>
      <c r="JVF68" s="144"/>
      <c r="JVG68" s="144"/>
      <c r="JVH68" s="143"/>
      <c r="JVI68" s="145"/>
      <c r="JVJ68" s="143"/>
      <c r="JVK68" s="145"/>
      <c r="JVL68" s="146"/>
      <c r="JVM68" s="147"/>
      <c r="JVN68"/>
      <c r="JVO68" s="148"/>
      <c r="JVP68"/>
      <c r="JVQ68" s="140"/>
      <c r="JVR68" s="149"/>
      <c r="JVS68"/>
      <c r="JVT68" s="142"/>
      <c r="JVU68" s="143"/>
      <c r="JVV68" s="144"/>
      <c r="JVW68" s="144"/>
      <c r="JVX68" s="143"/>
      <c r="JVY68" s="145"/>
      <c r="JVZ68" s="143"/>
      <c r="JWA68" s="145"/>
      <c r="JWB68" s="146"/>
      <c r="JWC68" s="147"/>
      <c r="JWD68"/>
      <c r="JWE68" s="148"/>
      <c r="JWF68"/>
      <c r="JWG68" s="140"/>
      <c r="JWH68" s="149"/>
      <c r="JWI68"/>
      <c r="JWJ68" s="142"/>
      <c r="JWK68" s="143"/>
      <c r="JWL68" s="144"/>
      <c r="JWM68" s="144"/>
      <c r="JWN68" s="143"/>
      <c r="JWO68" s="145"/>
      <c r="JWP68" s="143"/>
      <c r="JWQ68" s="145"/>
      <c r="JWR68" s="146"/>
      <c r="JWS68" s="147"/>
      <c r="JWT68"/>
      <c r="JWU68" s="148"/>
      <c r="JWV68"/>
      <c r="JWW68" s="140"/>
      <c r="JWX68" s="149"/>
      <c r="JWY68"/>
      <c r="JWZ68" s="142"/>
      <c r="JXA68" s="143"/>
      <c r="JXB68" s="144"/>
      <c r="JXC68" s="144"/>
      <c r="JXD68" s="143"/>
      <c r="JXE68" s="145"/>
      <c r="JXF68" s="143"/>
      <c r="JXG68" s="145"/>
      <c r="JXH68" s="146"/>
      <c r="JXI68" s="147"/>
      <c r="JXJ68"/>
      <c r="JXK68" s="148"/>
      <c r="JXL68"/>
      <c r="JXM68" s="140"/>
      <c r="JXN68" s="149"/>
      <c r="JXO68"/>
      <c r="JXP68" s="142"/>
      <c r="JXQ68" s="143"/>
      <c r="JXR68" s="144"/>
      <c r="JXS68" s="144"/>
      <c r="JXT68" s="143"/>
      <c r="JXU68" s="145"/>
      <c r="JXV68" s="143"/>
      <c r="JXW68" s="145"/>
      <c r="JXX68" s="146"/>
      <c r="JXY68" s="147"/>
      <c r="JXZ68"/>
      <c r="JYA68" s="148"/>
      <c r="JYB68"/>
      <c r="JYC68" s="140"/>
      <c r="JYD68" s="149"/>
      <c r="JYE68"/>
      <c r="JYF68" s="142"/>
      <c r="JYG68" s="143"/>
      <c r="JYH68" s="144"/>
      <c r="JYI68" s="144"/>
      <c r="JYJ68" s="143"/>
      <c r="JYK68" s="145"/>
      <c r="JYL68" s="143"/>
      <c r="JYM68" s="145"/>
      <c r="JYN68" s="146"/>
      <c r="JYO68" s="147"/>
      <c r="JYP68"/>
      <c r="JYQ68" s="148"/>
      <c r="JYR68"/>
      <c r="JYS68" s="140"/>
      <c r="JYT68" s="149"/>
      <c r="JYU68"/>
      <c r="JYV68" s="142"/>
      <c r="JYW68" s="143"/>
      <c r="JYX68" s="144"/>
      <c r="JYY68" s="144"/>
      <c r="JYZ68" s="143"/>
      <c r="JZA68" s="145"/>
      <c r="JZB68" s="143"/>
      <c r="JZC68" s="145"/>
      <c r="JZD68" s="146"/>
      <c r="JZE68" s="147"/>
      <c r="JZF68"/>
      <c r="JZG68" s="148"/>
      <c r="JZH68"/>
      <c r="JZI68" s="140"/>
      <c r="JZJ68" s="149"/>
      <c r="JZK68"/>
      <c r="JZL68" s="142"/>
      <c r="JZM68" s="143"/>
      <c r="JZN68" s="144"/>
      <c r="JZO68" s="144"/>
      <c r="JZP68" s="143"/>
      <c r="JZQ68" s="145"/>
      <c r="JZR68" s="143"/>
      <c r="JZS68" s="145"/>
      <c r="JZT68" s="146"/>
      <c r="JZU68" s="147"/>
      <c r="JZV68"/>
      <c r="JZW68" s="148"/>
      <c r="JZX68"/>
      <c r="JZY68" s="140"/>
      <c r="JZZ68" s="149"/>
      <c r="KAA68"/>
      <c r="KAB68" s="142"/>
      <c r="KAC68" s="143"/>
      <c r="KAD68" s="144"/>
      <c r="KAE68" s="144"/>
      <c r="KAF68" s="143"/>
      <c r="KAG68" s="145"/>
      <c r="KAH68" s="143"/>
      <c r="KAI68" s="145"/>
      <c r="KAJ68" s="146"/>
      <c r="KAK68" s="147"/>
      <c r="KAL68"/>
      <c r="KAM68" s="148"/>
      <c r="KAN68"/>
      <c r="KAO68" s="140"/>
      <c r="KAP68" s="149"/>
      <c r="KAQ68"/>
      <c r="KAR68" s="142"/>
      <c r="KAS68" s="143"/>
      <c r="KAT68" s="144"/>
      <c r="KAU68" s="144"/>
      <c r="KAV68" s="143"/>
      <c r="KAW68" s="145"/>
      <c r="KAX68" s="143"/>
      <c r="KAY68" s="145"/>
      <c r="KAZ68" s="146"/>
      <c r="KBA68" s="147"/>
      <c r="KBB68"/>
      <c r="KBC68" s="148"/>
      <c r="KBD68"/>
      <c r="KBE68" s="140"/>
      <c r="KBF68" s="149"/>
      <c r="KBG68"/>
      <c r="KBH68" s="142"/>
      <c r="KBI68" s="143"/>
      <c r="KBJ68" s="144"/>
      <c r="KBK68" s="144"/>
      <c r="KBL68" s="143"/>
      <c r="KBM68" s="145"/>
      <c r="KBN68" s="143"/>
      <c r="KBO68" s="145"/>
      <c r="KBP68" s="146"/>
      <c r="KBQ68" s="147"/>
      <c r="KBR68"/>
      <c r="KBS68" s="148"/>
      <c r="KBT68"/>
      <c r="KBU68" s="140"/>
      <c r="KBV68" s="149"/>
      <c r="KBW68"/>
      <c r="KBX68" s="142"/>
      <c r="KBY68" s="143"/>
      <c r="KBZ68" s="144"/>
      <c r="KCA68" s="144"/>
      <c r="KCB68" s="143"/>
      <c r="KCC68" s="145"/>
      <c r="KCD68" s="143"/>
      <c r="KCE68" s="145"/>
      <c r="KCF68" s="146"/>
      <c r="KCG68" s="147"/>
      <c r="KCH68"/>
      <c r="KCI68" s="148"/>
      <c r="KCJ68"/>
      <c r="KCK68" s="140"/>
      <c r="KCL68" s="149"/>
      <c r="KCM68"/>
      <c r="KCN68" s="142"/>
      <c r="KCO68" s="143"/>
      <c r="KCP68" s="144"/>
      <c r="KCQ68" s="144"/>
      <c r="KCR68" s="143"/>
      <c r="KCS68" s="145"/>
      <c r="KCT68" s="143"/>
      <c r="KCU68" s="145"/>
      <c r="KCV68" s="146"/>
      <c r="KCW68" s="147"/>
      <c r="KCX68"/>
      <c r="KCY68" s="148"/>
      <c r="KCZ68"/>
      <c r="KDA68" s="140"/>
      <c r="KDB68" s="149"/>
      <c r="KDC68"/>
      <c r="KDD68" s="142"/>
      <c r="KDE68" s="143"/>
      <c r="KDF68" s="144"/>
      <c r="KDG68" s="144"/>
      <c r="KDH68" s="143"/>
      <c r="KDI68" s="145"/>
      <c r="KDJ68" s="143"/>
      <c r="KDK68" s="145"/>
      <c r="KDL68" s="146"/>
      <c r="KDM68" s="147"/>
      <c r="KDN68"/>
      <c r="KDO68" s="148"/>
      <c r="KDP68"/>
      <c r="KDQ68" s="140"/>
      <c r="KDR68" s="149"/>
      <c r="KDS68"/>
      <c r="KDT68" s="142"/>
      <c r="KDU68" s="143"/>
      <c r="KDV68" s="144"/>
      <c r="KDW68" s="144"/>
      <c r="KDX68" s="143"/>
      <c r="KDY68" s="145"/>
      <c r="KDZ68" s="143"/>
      <c r="KEA68" s="145"/>
      <c r="KEB68" s="146"/>
      <c r="KEC68" s="147"/>
      <c r="KED68"/>
      <c r="KEE68" s="148"/>
      <c r="KEF68"/>
      <c r="KEG68" s="140"/>
      <c r="KEH68" s="149"/>
      <c r="KEI68"/>
      <c r="KEJ68" s="142"/>
      <c r="KEK68" s="143"/>
      <c r="KEL68" s="144"/>
      <c r="KEM68" s="144"/>
      <c r="KEN68" s="143"/>
      <c r="KEO68" s="145"/>
      <c r="KEP68" s="143"/>
      <c r="KEQ68" s="145"/>
      <c r="KER68" s="146"/>
      <c r="KES68" s="147"/>
      <c r="KET68"/>
      <c r="KEU68" s="148"/>
      <c r="KEV68"/>
      <c r="KEW68" s="140"/>
      <c r="KEX68" s="149"/>
      <c r="KEY68"/>
      <c r="KEZ68" s="142"/>
      <c r="KFA68" s="143"/>
      <c r="KFB68" s="144"/>
      <c r="KFC68" s="144"/>
      <c r="KFD68" s="143"/>
      <c r="KFE68" s="145"/>
      <c r="KFF68" s="143"/>
      <c r="KFG68" s="145"/>
      <c r="KFH68" s="146"/>
      <c r="KFI68" s="147"/>
      <c r="KFJ68"/>
      <c r="KFK68" s="148"/>
      <c r="KFL68"/>
      <c r="KFM68" s="140"/>
      <c r="KFN68" s="149"/>
      <c r="KFO68"/>
      <c r="KFP68" s="142"/>
      <c r="KFQ68" s="143"/>
      <c r="KFR68" s="144"/>
      <c r="KFS68" s="144"/>
      <c r="KFT68" s="143"/>
      <c r="KFU68" s="145"/>
      <c r="KFV68" s="143"/>
      <c r="KFW68" s="145"/>
      <c r="KFX68" s="146"/>
      <c r="KFY68" s="147"/>
      <c r="KFZ68"/>
      <c r="KGA68" s="148"/>
      <c r="KGB68"/>
      <c r="KGC68" s="140"/>
      <c r="KGD68" s="149"/>
      <c r="KGE68"/>
      <c r="KGF68" s="142"/>
      <c r="KGG68" s="143"/>
      <c r="KGH68" s="144"/>
      <c r="KGI68" s="144"/>
      <c r="KGJ68" s="143"/>
      <c r="KGK68" s="145"/>
      <c r="KGL68" s="143"/>
      <c r="KGM68" s="145"/>
      <c r="KGN68" s="146"/>
      <c r="KGO68" s="147"/>
      <c r="KGP68"/>
      <c r="KGQ68" s="148"/>
      <c r="KGR68"/>
      <c r="KGS68" s="140"/>
      <c r="KGT68" s="149"/>
      <c r="KGU68"/>
      <c r="KGV68" s="142"/>
      <c r="KGW68" s="143"/>
      <c r="KGX68" s="144"/>
      <c r="KGY68" s="144"/>
      <c r="KGZ68" s="143"/>
      <c r="KHA68" s="145"/>
      <c r="KHB68" s="143"/>
      <c r="KHC68" s="145"/>
      <c r="KHD68" s="146"/>
      <c r="KHE68" s="147"/>
      <c r="KHF68"/>
      <c r="KHG68" s="148"/>
      <c r="KHH68"/>
      <c r="KHI68" s="140"/>
      <c r="KHJ68" s="149"/>
      <c r="KHK68"/>
      <c r="KHL68" s="142"/>
      <c r="KHM68" s="143"/>
      <c r="KHN68" s="144"/>
      <c r="KHO68" s="144"/>
      <c r="KHP68" s="143"/>
      <c r="KHQ68" s="145"/>
      <c r="KHR68" s="143"/>
      <c r="KHS68" s="145"/>
      <c r="KHT68" s="146"/>
      <c r="KHU68" s="147"/>
      <c r="KHV68"/>
      <c r="KHW68" s="148"/>
      <c r="KHX68"/>
      <c r="KHY68" s="140"/>
      <c r="KHZ68" s="149"/>
      <c r="KIA68"/>
      <c r="KIB68" s="142"/>
      <c r="KIC68" s="143"/>
      <c r="KID68" s="144"/>
      <c r="KIE68" s="144"/>
      <c r="KIF68" s="143"/>
      <c r="KIG68" s="145"/>
      <c r="KIH68" s="143"/>
      <c r="KII68" s="145"/>
      <c r="KIJ68" s="146"/>
      <c r="KIK68" s="147"/>
      <c r="KIL68"/>
      <c r="KIM68" s="148"/>
      <c r="KIN68"/>
      <c r="KIO68" s="140"/>
      <c r="KIP68" s="149"/>
      <c r="KIQ68"/>
      <c r="KIR68" s="142"/>
      <c r="KIS68" s="143"/>
      <c r="KIT68" s="144"/>
      <c r="KIU68" s="144"/>
      <c r="KIV68" s="143"/>
      <c r="KIW68" s="145"/>
      <c r="KIX68" s="143"/>
      <c r="KIY68" s="145"/>
      <c r="KIZ68" s="146"/>
      <c r="KJA68" s="147"/>
      <c r="KJB68"/>
      <c r="KJC68" s="148"/>
      <c r="KJD68"/>
      <c r="KJE68" s="140"/>
      <c r="KJF68" s="149"/>
      <c r="KJG68"/>
      <c r="KJH68" s="142"/>
      <c r="KJI68" s="143"/>
      <c r="KJJ68" s="144"/>
      <c r="KJK68" s="144"/>
      <c r="KJL68" s="143"/>
      <c r="KJM68" s="145"/>
      <c r="KJN68" s="143"/>
      <c r="KJO68" s="145"/>
      <c r="KJP68" s="146"/>
      <c r="KJQ68" s="147"/>
      <c r="KJR68"/>
      <c r="KJS68" s="148"/>
      <c r="KJT68"/>
      <c r="KJU68" s="140"/>
      <c r="KJV68" s="149"/>
      <c r="KJW68"/>
      <c r="KJX68" s="142"/>
      <c r="KJY68" s="143"/>
      <c r="KJZ68" s="144"/>
      <c r="KKA68" s="144"/>
      <c r="KKB68" s="143"/>
      <c r="KKC68" s="145"/>
      <c r="KKD68" s="143"/>
      <c r="KKE68" s="145"/>
      <c r="KKF68" s="146"/>
      <c r="KKG68" s="147"/>
      <c r="KKH68"/>
      <c r="KKI68" s="148"/>
      <c r="KKJ68"/>
      <c r="KKK68" s="140"/>
      <c r="KKL68" s="149"/>
      <c r="KKM68"/>
      <c r="KKN68" s="142"/>
      <c r="KKO68" s="143"/>
      <c r="KKP68" s="144"/>
      <c r="KKQ68" s="144"/>
      <c r="KKR68" s="143"/>
      <c r="KKS68" s="145"/>
      <c r="KKT68" s="143"/>
      <c r="KKU68" s="145"/>
      <c r="KKV68" s="146"/>
      <c r="KKW68" s="147"/>
      <c r="KKX68"/>
      <c r="KKY68" s="148"/>
      <c r="KKZ68"/>
      <c r="KLA68" s="140"/>
      <c r="KLB68" s="149"/>
      <c r="KLC68"/>
      <c r="KLD68" s="142"/>
      <c r="KLE68" s="143"/>
      <c r="KLF68" s="144"/>
      <c r="KLG68" s="144"/>
      <c r="KLH68" s="143"/>
      <c r="KLI68" s="145"/>
      <c r="KLJ68" s="143"/>
      <c r="KLK68" s="145"/>
      <c r="KLL68" s="146"/>
      <c r="KLM68" s="147"/>
      <c r="KLN68"/>
      <c r="KLO68" s="148"/>
      <c r="KLP68"/>
      <c r="KLQ68" s="140"/>
      <c r="KLR68" s="149"/>
      <c r="KLS68"/>
      <c r="KLT68" s="142"/>
      <c r="KLU68" s="143"/>
      <c r="KLV68" s="144"/>
      <c r="KLW68" s="144"/>
      <c r="KLX68" s="143"/>
      <c r="KLY68" s="145"/>
      <c r="KLZ68" s="143"/>
      <c r="KMA68" s="145"/>
      <c r="KMB68" s="146"/>
      <c r="KMC68" s="147"/>
      <c r="KMD68"/>
      <c r="KME68" s="148"/>
      <c r="KMF68"/>
      <c r="KMG68" s="140"/>
      <c r="KMH68" s="149"/>
      <c r="KMI68"/>
      <c r="KMJ68" s="142"/>
      <c r="KMK68" s="143"/>
      <c r="KML68" s="144"/>
      <c r="KMM68" s="144"/>
      <c r="KMN68" s="143"/>
      <c r="KMO68" s="145"/>
      <c r="KMP68" s="143"/>
      <c r="KMQ68" s="145"/>
      <c r="KMR68" s="146"/>
      <c r="KMS68" s="147"/>
      <c r="KMT68"/>
      <c r="KMU68" s="148"/>
      <c r="KMV68"/>
      <c r="KMW68" s="140"/>
      <c r="KMX68" s="149"/>
      <c r="KMY68"/>
      <c r="KMZ68" s="142"/>
      <c r="KNA68" s="143"/>
      <c r="KNB68" s="144"/>
      <c r="KNC68" s="144"/>
      <c r="KND68" s="143"/>
      <c r="KNE68" s="145"/>
      <c r="KNF68" s="143"/>
      <c r="KNG68" s="145"/>
      <c r="KNH68" s="146"/>
      <c r="KNI68" s="147"/>
      <c r="KNJ68"/>
      <c r="KNK68" s="148"/>
      <c r="KNL68"/>
      <c r="KNM68" s="140"/>
      <c r="KNN68" s="149"/>
      <c r="KNO68"/>
      <c r="KNP68" s="142"/>
      <c r="KNQ68" s="143"/>
      <c r="KNR68" s="144"/>
      <c r="KNS68" s="144"/>
      <c r="KNT68" s="143"/>
      <c r="KNU68" s="145"/>
      <c r="KNV68" s="143"/>
      <c r="KNW68" s="145"/>
      <c r="KNX68" s="146"/>
      <c r="KNY68" s="147"/>
      <c r="KNZ68"/>
      <c r="KOA68" s="148"/>
      <c r="KOB68"/>
      <c r="KOC68" s="140"/>
      <c r="KOD68" s="149"/>
      <c r="KOE68"/>
      <c r="KOF68" s="142"/>
      <c r="KOG68" s="143"/>
      <c r="KOH68" s="144"/>
      <c r="KOI68" s="144"/>
      <c r="KOJ68" s="143"/>
      <c r="KOK68" s="145"/>
      <c r="KOL68" s="143"/>
      <c r="KOM68" s="145"/>
      <c r="KON68" s="146"/>
      <c r="KOO68" s="147"/>
      <c r="KOP68"/>
      <c r="KOQ68" s="148"/>
      <c r="KOR68"/>
      <c r="KOS68" s="140"/>
      <c r="KOT68" s="149"/>
      <c r="KOU68"/>
      <c r="KOV68" s="142"/>
      <c r="KOW68" s="143"/>
      <c r="KOX68" s="144"/>
      <c r="KOY68" s="144"/>
      <c r="KOZ68" s="143"/>
      <c r="KPA68" s="145"/>
      <c r="KPB68" s="143"/>
      <c r="KPC68" s="145"/>
      <c r="KPD68" s="146"/>
      <c r="KPE68" s="147"/>
      <c r="KPF68"/>
      <c r="KPG68" s="148"/>
      <c r="KPH68"/>
      <c r="KPI68" s="140"/>
      <c r="KPJ68" s="149"/>
      <c r="KPK68"/>
      <c r="KPL68" s="142"/>
      <c r="KPM68" s="143"/>
      <c r="KPN68" s="144"/>
      <c r="KPO68" s="144"/>
      <c r="KPP68" s="143"/>
      <c r="KPQ68" s="145"/>
      <c r="KPR68" s="143"/>
      <c r="KPS68" s="145"/>
      <c r="KPT68" s="146"/>
      <c r="KPU68" s="147"/>
      <c r="KPV68"/>
      <c r="KPW68" s="148"/>
      <c r="KPX68"/>
      <c r="KPY68" s="140"/>
      <c r="KPZ68" s="149"/>
      <c r="KQA68"/>
      <c r="KQB68" s="142"/>
      <c r="KQC68" s="143"/>
      <c r="KQD68" s="144"/>
      <c r="KQE68" s="144"/>
      <c r="KQF68" s="143"/>
      <c r="KQG68" s="145"/>
      <c r="KQH68" s="143"/>
      <c r="KQI68" s="145"/>
      <c r="KQJ68" s="146"/>
      <c r="KQK68" s="147"/>
      <c r="KQL68"/>
      <c r="KQM68" s="148"/>
      <c r="KQN68"/>
      <c r="KQO68" s="140"/>
      <c r="KQP68" s="149"/>
      <c r="KQQ68"/>
      <c r="KQR68" s="142"/>
      <c r="KQS68" s="143"/>
      <c r="KQT68" s="144"/>
      <c r="KQU68" s="144"/>
      <c r="KQV68" s="143"/>
      <c r="KQW68" s="145"/>
      <c r="KQX68" s="143"/>
      <c r="KQY68" s="145"/>
      <c r="KQZ68" s="146"/>
      <c r="KRA68" s="147"/>
      <c r="KRB68"/>
      <c r="KRC68" s="148"/>
      <c r="KRD68"/>
      <c r="KRE68" s="140"/>
      <c r="KRF68" s="149"/>
      <c r="KRG68"/>
      <c r="KRH68" s="142"/>
      <c r="KRI68" s="143"/>
      <c r="KRJ68" s="144"/>
      <c r="KRK68" s="144"/>
      <c r="KRL68" s="143"/>
      <c r="KRM68" s="145"/>
      <c r="KRN68" s="143"/>
      <c r="KRO68" s="145"/>
      <c r="KRP68" s="146"/>
      <c r="KRQ68" s="147"/>
      <c r="KRR68"/>
      <c r="KRS68" s="148"/>
      <c r="KRT68"/>
      <c r="KRU68" s="140"/>
      <c r="KRV68" s="149"/>
      <c r="KRW68"/>
      <c r="KRX68" s="142"/>
      <c r="KRY68" s="143"/>
      <c r="KRZ68" s="144"/>
      <c r="KSA68" s="144"/>
      <c r="KSB68" s="143"/>
      <c r="KSC68" s="145"/>
      <c r="KSD68" s="143"/>
      <c r="KSE68" s="145"/>
      <c r="KSF68" s="146"/>
      <c r="KSG68" s="147"/>
      <c r="KSH68"/>
      <c r="KSI68" s="148"/>
      <c r="KSJ68"/>
      <c r="KSK68" s="140"/>
      <c r="KSL68" s="149"/>
      <c r="KSM68"/>
      <c r="KSN68" s="142"/>
      <c r="KSO68" s="143"/>
      <c r="KSP68" s="144"/>
      <c r="KSQ68" s="144"/>
      <c r="KSR68" s="143"/>
      <c r="KSS68" s="145"/>
      <c r="KST68" s="143"/>
      <c r="KSU68" s="145"/>
      <c r="KSV68" s="146"/>
      <c r="KSW68" s="147"/>
      <c r="KSX68"/>
      <c r="KSY68" s="148"/>
      <c r="KSZ68"/>
      <c r="KTA68" s="140"/>
      <c r="KTB68" s="149"/>
      <c r="KTC68"/>
      <c r="KTD68" s="142"/>
      <c r="KTE68" s="143"/>
      <c r="KTF68" s="144"/>
      <c r="KTG68" s="144"/>
      <c r="KTH68" s="143"/>
      <c r="KTI68" s="145"/>
      <c r="KTJ68" s="143"/>
      <c r="KTK68" s="145"/>
      <c r="KTL68" s="146"/>
      <c r="KTM68" s="147"/>
      <c r="KTN68"/>
      <c r="KTO68" s="148"/>
      <c r="KTP68"/>
      <c r="KTQ68" s="140"/>
      <c r="KTR68" s="149"/>
      <c r="KTS68"/>
      <c r="KTT68" s="142"/>
      <c r="KTU68" s="143"/>
      <c r="KTV68" s="144"/>
      <c r="KTW68" s="144"/>
      <c r="KTX68" s="143"/>
      <c r="KTY68" s="145"/>
      <c r="KTZ68" s="143"/>
      <c r="KUA68" s="145"/>
      <c r="KUB68" s="146"/>
      <c r="KUC68" s="147"/>
      <c r="KUD68"/>
      <c r="KUE68" s="148"/>
      <c r="KUF68"/>
      <c r="KUG68" s="140"/>
      <c r="KUH68" s="149"/>
      <c r="KUI68"/>
      <c r="KUJ68" s="142"/>
      <c r="KUK68" s="143"/>
      <c r="KUL68" s="144"/>
      <c r="KUM68" s="144"/>
      <c r="KUN68" s="143"/>
      <c r="KUO68" s="145"/>
      <c r="KUP68" s="143"/>
      <c r="KUQ68" s="145"/>
      <c r="KUR68" s="146"/>
      <c r="KUS68" s="147"/>
      <c r="KUT68"/>
      <c r="KUU68" s="148"/>
      <c r="KUV68"/>
      <c r="KUW68" s="140"/>
      <c r="KUX68" s="149"/>
      <c r="KUY68"/>
      <c r="KUZ68" s="142"/>
      <c r="KVA68" s="143"/>
      <c r="KVB68" s="144"/>
      <c r="KVC68" s="144"/>
      <c r="KVD68" s="143"/>
      <c r="KVE68" s="145"/>
      <c r="KVF68" s="143"/>
      <c r="KVG68" s="145"/>
      <c r="KVH68" s="146"/>
      <c r="KVI68" s="147"/>
      <c r="KVJ68"/>
      <c r="KVK68" s="148"/>
      <c r="KVL68"/>
      <c r="KVM68" s="140"/>
      <c r="KVN68" s="149"/>
      <c r="KVO68"/>
      <c r="KVP68" s="142"/>
      <c r="KVQ68" s="143"/>
      <c r="KVR68" s="144"/>
      <c r="KVS68" s="144"/>
      <c r="KVT68" s="143"/>
      <c r="KVU68" s="145"/>
      <c r="KVV68" s="143"/>
      <c r="KVW68" s="145"/>
      <c r="KVX68" s="146"/>
      <c r="KVY68" s="147"/>
      <c r="KVZ68"/>
      <c r="KWA68" s="148"/>
      <c r="KWB68"/>
      <c r="KWC68" s="140"/>
      <c r="KWD68" s="149"/>
      <c r="KWE68"/>
      <c r="KWF68" s="142"/>
      <c r="KWG68" s="143"/>
      <c r="KWH68" s="144"/>
      <c r="KWI68" s="144"/>
      <c r="KWJ68" s="143"/>
      <c r="KWK68" s="145"/>
      <c r="KWL68" s="143"/>
      <c r="KWM68" s="145"/>
      <c r="KWN68" s="146"/>
      <c r="KWO68" s="147"/>
      <c r="KWP68"/>
      <c r="KWQ68" s="148"/>
      <c r="KWR68"/>
      <c r="KWS68" s="140"/>
      <c r="KWT68" s="149"/>
      <c r="KWU68"/>
      <c r="KWV68" s="142"/>
      <c r="KWW68" s="143"/>
      <c r="KWX68" s="144"/>
      <c r="KWY68" s="144"/>
      <c r="KWZ68" s="143"/>
      <c r="KXA68" s="145"/>
      <c r="KXB68" s="143"/>
      <c r="KXC68" s="145"/>
      <c r="KXD68" s="146"/>
      <c r="KXE68" s="147"/>
      <c r="KXF68"/>
      <c r="KXG68" s="148"/>
      <c r="KXH68"/>
      <c r="KXI68" s="140"/>
      <c r="KXJ68" s="149"/>
      <c r="KXK68"/>
      <c r="KXL68" s="142"/>
      <c r="KXM68" s="143"/>
      <c r="KXN68" s="144"/>
      <c r="KXO68" s="144"/>
      <c r="KXP68" s="143"/>
      <c r="KXQ68" s="145"/>
      <c r="KXR68" s="143"/>
      <c r="KXS68" s="145"/>
      <c r="KXT68" s="146"/>
      <c r="KXU68" s="147"/>
      <c r="KXV68"/>
      <c r="KXW68" s="148"/>
      <c r="KXX68"/>
      <c r="KXY68" s="140"/>
      <c r="KXZ68" s="149"/>
      <c r="KYA68"/>
      <c r="KYB68" s="142"/>
      <c r="KYC68" s="143"/>
      <c r="KYD68" s="144"/>
      <c r="KYE68" s="144"/>
      <c r="KYF68" s="143"/>
      <c r="KYG68" s="145"/>
      <c r="KYH68" s="143"/>
      <c r="KYI68" s="145"/>
      <c r="KYJ68" s="146"/>
      <c r="KYK68" s="147"/>
      <c r="KYL68"/>
      <c r="KYM68" s="148"/>
      <c r="KYN68"/>
      <c r="KYO68" s="140"/>
      <c r="KYP68" s="149"/>
      <c r="KYQ68"/>
      <c r="KYR68" s="142"/>
      <c r="KYS68" s="143"/>
      <c r="KYT68" s="144"/>
      <c r="KYU68" s="144"/>
      <c r="KYV68" s="143"/>
      <c r="KYW68" s="145"/>
      <c r="KYX68" s="143"/>
      <c r="KYY68" s="145"/>
      <c r="KYZ68" s="146"/>
      <c r="KZA68" s="147"/>
      <c r="KZB68"/>
      <c r="KZC68" s="148"/>
      <c r="KZD68"/>
      <c r="KZE68" s="140"/>
      <c r="KZF68" s="149"/>
      <c r="KZG68"/>
      <c r="KZH68" s="142"/>
      <c r="KZI68" s="143"/>
      <c r="KZJ68" s="144"/>
      <c r="KZK68" s="144"/>
      <c r="KZL68" s="143"/>
      <c r="KZM68" s="145"/>
      <c r="KZN68" s="143"/>
      <c r="KZO68" s="145"/>
      <c r="KZP68" s="146"/>
      <c r="KZQ68" s="147"/>
      <c r="KZR68"/>
      <c r="KZS68" s="148"/>
      <c r="KZT68"/>
      <c r="KZU68" s="140"/>
      <c r="KZV68" s="149"/>
      <c r="KZW68"/>
      <c r="KZX68" s="142"/>
      <c r="KZY68" s="143"/>
      <c r="KZZ68" s="144"/>
      <c r="LAA68" s="144"/>
      <c r="LAB68" s="143"/>
      <c r="LAC68" s="145"/>
      <c r="LAD68" s="143"/>
      <c r="LAE68" s="145"/>
      <c r="LAF68" s="146"/>
      <c r="LAG68" s="147"/>
      <c r="LAH68"/>
      <c r="LAI68" s="148"/>
      <c r="LAJ68"/>
      <c r="LAK68" s="140"/>
      <c r="LAL68" s="149"/>
      <c r="LAM68"/>
      <c r="LAN68" s="142"/>
      <c r="LAO68" s="143"/>
      <c r="LAP68" s="144"/>
      <c r="LAQ68" s="144"/>
      <c r="LAR68" s="143"/>
      <c r="LAS68" s="145"/>
      <c r="LAT68" s="143"/>
      <c r="LAU68" s="145"/>
      <c r="LAV68" s="146"/>
      <c r="LAW68" s="147"/>
      <c r="LAX68"/>
      <c r="LAY68" s="148"/>
      <c r="LAZ68"/>
      <c r="LBA68" s="140"/>
      <c r="LBB68" s="149"/>
      <c r="LBC68"/>
      <c r="LBD68" s="142"/>
      <c r="LBE68" s="143"/>
      <c r="LBF68" s="144"/>
      <c r="LBG68" s="144"/>
      <c r="LBH68" s="143"/>
      <c r="LBI68" s="145"/>
      <c r="LBJ68" s="143"/>
      <c r="LBK68" s="145"/>
      <c r="LBL68" s="146"/>
      <c r="LBM68" s="147"/>
      <c r="LBN68"/>
      <c r="LBO68" s="148"/>
      <c r="LBP68"/>
      <c r="LBQ68" s="140"/>
      <c r="LBR68" s="149"/>
      <c r="LBS68"/>
      <c r="LBT68" s="142"/>
      <c r="LBU68" s="143"/>
      <c r="LBV68" s="144"/>
      <c r="LBW68" s="144"/>
      <c r="LBX68" s="143"/>
      <c r="LBY68" s="145"/>
      <c r="LBZ68" s="143"/>
      <c r="LCA68" s="145"/>
      <c r="LCB68" s="146"/>
      <c r="LCC68" s="147"/>
      <c r="LCD68"/>
      <c r="LCE68" s="148"/>
      <c r="LCF68"/>
      <c r="LCG68" s="140"/>
      <c r="LCH68" s="149"/>
      <c r="LCI68"/>
      <c r="LCJ68" s="142"/>
      <c r="LCK68" s="143"/>
      <c r="LCL68" s="144"/>
      <c r="LCM68" s="144"/>
      <c r="LCN68" s="143"/>
      <c r="LCO68" s="145"/>
      <c r="LCP68" s="143"/>
      <c r="LCQ68" s="145"/>
      <c r="LCR68" s="146"/>
      <c r="LCS68" s="147"/>
      <c r="LCT68"/>
      <c r="LCU68" s="148"/>
      <c r="LCV68"/>
      <c r="LCW68" s="140"/>
      <c r="LCX68" s="149"/>
      <c r="LCY68"/>
      <c r="LCZ68" s="142"/>
      <c r="LDA68" s="143"/>
      <c r="LDB68" s="144"/>
      <c r="LDC68" s="144"/>
      <c r="LDD68" s="143"/>
      <c r="LDE68" s="145"/>
      <c r="LDF68" s="143"/>
      <c r="LDG68" s="145"/>
      <c r="LDH68" s="146"/>
      <c r="LDI68" s="147"/>
      <c r="LDJ68"/>
      <c r="LDK68" s="148"/>
      <c r="LDL68"/>
      <c r="LDM68" s="140"/>
      <c r="LDN68" s="149"/>
      <c r="LDO68"/>
      <c r="LDP68" s="142"/>
      <c r="LDQ68" s="143"/>
      <c r="LDR68" s="144"/>
      <c r="LDS68" s="144"/>
      <c r="LDT68" s="143"/>
      <c r="LDU68" s="145"/>
      <c r="LDV68" s="143"/>
      <c r="LDW68" s="145"/>
      <c r="LDX68" s="146"/>
      <c r="LDY68" s="147"/>
      <c r="LDZ68"/>
      <c r="LEA68" s="148"/>
      <c r="LEB68"/>
      <c r="LEC68" s="140"/>
      <c r="LED68" s="149"/>
      <c r="LEE68"/>
      <c r="LEF68" s="142"/>
      <c r="LEG68" s="143"/>
      <c r="LEH68" s="144"/>
      <c r="LEI68" s="144"/>
      <c r="LEJ68" s="143"/>
      <c r="LEK68" s="145"/>
      <c r="LEL68" s="143"/>
      <c r="LEM68" s="145"/>
      <c r="LEN68" s="146"/>
      <c r="LEO68" s="147"/>
      <c r="LEP68"/>
      <c r="LEQ68" s="148"/>
      <c r="LER68"/>
      <c r="LES68" s="140"/>
      <c r="LET68" s="149"/>
      <c r="LEU68"/>
      <c r="LEV68" s="142"/>
      <c r="LEW68" s="143"/>
      <c r="LEX68" s="144"/>
      <c r="LEY68" s="144"/>
      <c r="LEZ68" s="143"/>
      <c r="LFA68" s="145"/>
      <c r="LFB68" s="143"/>
      <c r="LFC68" s="145"/>
      <c r="LFD68" s="146"/>
      <c r="LFE68" s="147"/>
      <c r="LFF68"/>
      <c r="LFG68" s="148"/>
      <c r="LFH68"/>
      <c r="LFI68" s="140"/>
      <c r="LFJ68" s="149"/>
      <c r="LFK68"/>
      <c r="LFL68" s="142"/>
      <c r="LFM68" s="143"/>
      <c r="LFN68" s="144"/>
      <c r="LFO68" s="144"/>
      <c r="LFP68" s="143"/>
      <c r="LFQ68" s="145"/>
      <c r="LFR68" s="143"/>
      <c r="LFS68" s="145"/>
      <c r="LFT68" s="146"/>
      <c r="LFU68" s="147"/>
      <c r="LFV68"/>
      <c r="LFW68" s="148"/>
      <c r="LFX68"/>
      <c r="LFY68" s="140"/>
      <c r="LFZ68" s="149"/>
      <c r="LGA68"/>
      <c r="LGB68" s="142"/>
      <c r="LGC68" s="143"/>
      <c r="LGD68" s="144"/>
      <c r="LGE68" s="144"/>
      <c r="LGF68" s="143"/>
      <c r="LGG68" s="145"/>
      <c r="LGH68" s="143"/>
      <c r="LGI68" s="145"/>
      <c r="LGJ68" s="146"/>
      <c r="LGK68" s="147"/>
      <c r="LGL68"/>
      <c r="LGM68" s="148"/>
      <c r="LGN68"/>
      <c r="LGO68" s="140"/>
      <c r="LGP68" s="149"/>
      <c r="LGQ68"/>
      <c r="LGR68" s="142"/>
      <c r="LGS68" s="143"/>
      <c r="LGT68" s="144"/>
      <c r="LGU68" s="144"/>
      <c r="LGV68" s="143"/>
      <c r="LGW68" s="145"/>
      <c r="LGX68" s="143"/>
      <c r="LGY68" s="145"/>
      <c r="LGZ68" s="146"/>
      <c r="LHA68" s="147"/>
      <c r="LHB68"/>
      <c r="LHC68" s="148"/>
      <c r="LHD68"/>
      <c r="LHE68" s="140"/>
      <c r="LHF68" s="149"/>
      <c r="LHG68"/>
      <c r="LHH68" s="142"/>
      <c r="LHI68" s="143"/>
      <c r="LHJ68" s="144"/>
      <c r="LHK68" s="144"/>
      <c r="LHL68" s="143"/>
      <c r="LHM68" s="145"/>
      <c r="LHN68" s="143"/>
      <c r="LHO68" s="145"/>
      <c r="LHP68" s="146"/>
      <c r="LHQ68" s="147"/>
      <c r="LHR68"/>
      <c r="LHS68" s="148"/>
      <c r="LHT68"/>
      <c r="LHU68" s="140"/>
      <c r="LHV68" s="149"/>
      <c r="LHW68"/>
      <c r="LHX68" s="142"/>
      <c r="LHY68" s="143"/>
      <c r="LHZ68" s="144"/>
      <c r="LIA68" s="144"/>
      <c r="LIB68" s="143"/>
      <c r="LIC68" s="145"/>
      <c r="LID68" s="143"/>
      <c r="LIE68" s="145"/>
      <c r="LIF68" s="146"/>
      <c r="LIG68" s="147"/>
      <c r="LIH68"/>
      <c r="LII68" s="148"/>
      <c r="LIJ68"/>
      <c r="LIK68" s="140"/>
      <c r="LIL68" s="149"/>
      <c r="LIM68"/>
      <c r="LIN68" s="142"/>
      <c r="LIO68" s="143"/>
      <c r="LIP68" s="144"/>
      <c r="LIQ68" s="144"/>
      <c r="LIR68" s="143"/>
      <c r="LIS68" s="145"/>
      <c r="LIT68" s="143"/>
      <c r="LIU68" s="145"/>
      <c r="LIV68" s="146"/>
      <c r="LIW68" s="147"/>
      <c r="LIX68"/>
      <c r="LIY68" s="148"/>
      <c r="LIZ68"/>
      <c r="LJA68" s="140"/>
      <c r="LJB68" s="149"/>
      <c r="LJC68"/>
      <c r="LJD68" s="142"/>
      <c r="LJE68" s="143"/>
      <c r="LJF68" s="144"/>
      <c r="LJG68" s="144"/>
      <c r="LJH68" s="143"/>
      <c r="LJI68" s="145"/>
      <c r="LJJ68" s="143"/>
      <c r="LJK68" s="145"/>
      <c r="LJL68" s="146"/>
      <c r="LJM68" s="147"/>
      <c r="LJN68"/>
      <c r="LJO68" s="148"/>
      <c r="LJP68"/>
      <c r="LJQ68" s="140"/>
      <c r="LJR68" s="149"/>
      <c r="LJS68"/>
      <c r="LJT68" s="142"/>
      <c r="LJU68" s="143"/>
      <c r="LJV68" s="144"/>
      <c r="LJW68" s="144"/>
      <c r="LJX68" s="143"/>
      <c r="LJY68" s="145"/>
      <c r="LJZ68" s="143"/>
      <c r="LKA68" s="145"/>
      <c r="LKB68" s="146"/>
      <c r="LKC68" s="147"/>
      <c r="LKD68"/>
      <c r="LKE68" s="148"/>
      <c r="LKF68"/>
      <c r="LKG68" s="140"/>
      <c r="LKH68" s="149"/>
      <c r="LKI68"/>
      <c r="LKJ68" s="142"/>
      <c r="LKK68" s="143"/>
      <c r="LKL68" s="144"/>
      <c r="LKM68" s="144"/>
      <c r="LKN68" s="143"/>
      <c r="LKO68" s="145"/>
      <c r="LKP68" s="143"/>
      <c r="LKQ68" s="145"/>
      <c r="LKR68" s="146"/>
      <c r="LKS68" s="147"/>
      <c r="LKT68"/>
      <c r="LKU68" s="148"/>
      <c r="LKV68"/>
      <c r="LKW68" s="140"/>
      <c r="LKX68" s="149"/>
      <c r="LKY68"/>
      <c r="LKZ68" s="142"/>
      <c r="LLA68" s="143"/>
      <c r="LLB68" s="144"/>
      <c r="LLC68" s="144"/>
      <c r="LLD68" s="143"/>
      <c r="LLE68" s="145"/>
      <c r="LLF68" s="143"/>
      <c r="LLG68" s="145"/>
      <c r="LLH68" s="146"/>
      <c r="LLI68" s="147"/>
      <c r="LLJ68"/>
      <c r="LLK68" s="148"/>
      <c r="LLL68"/>
      <c r="LLM68" s="140"/>
      <c r="LLN68" s="149"/>
      <c r="LLO68"/>
      <c r="LLP68" s="142"/>
      <c r="LLQ68" s="143"/>
      <c r="LLR68" s="144"/>
      <c r="LLS68" s="144"/>
      <c r="LLT68" s="143"/>
      <c r="LLU68" s="145"/>
      <c r="LLV68" s="143"/>
      <c r="LLW68" s="145"/>
      <c r="LLX68" s="146"/>
      <c r="LLY68" s="147"/>
      <c r="LLZ68"/>
      <c r="LMA68" s="148"/>
      <c r="LMB68"/>
      <c r="LMC68" s="140"/>
      <c r="LMD68" s="149"/>
      <c r="LME68"/>
      <c r="LMF68" s="142"/>
      <c r="LMG68" s="143"/>
      <c r="LMH68" s="144"/>
      <c r="LMI68" s="144"/>
      <c r="LMJ68" s="143"/>
      <c r="LMK68" s="145"/>
      <c r="LML68" s="143"/>
      <c r="LMM68" s="145"/>
      <c r="LMN68" s="146"/>
      <c r="LMO68" s="147"/>
      <c r="LMP68"/>
      <c r="LMQ68" s="148"/>
      <c r="LMR68"/>
      <c r="LMS68" s="140"/>
      <c r="LMT68" s="149"/>
      <c r="LMU68"/>
      <c r="LMV68" s="142"/>
      <c r="LMW68" s="143"/>
      <c r="LMX68" s="144"/>
      <c r="LMY68" s="144"/>
      <c r="LMZ68" s="143"/>
      <c r="LNA68" s="145"/>
      <c r="LNB68" s="143"/>
      <c r="LNC68" s="145"/>
      <c r="LND68" s="146"/>
      <c r="LNE68" s="147"/>
      <c r="LNF68"/>
      <c r="LNG68" s="148"/>
      <c r="LNH68"/>
      <c r="LNI68" s="140"/>
      <c r="LNJ68" s="149"/>
      <c r="LNK68"/>
      <c r="LNL68" s="142"/>
      <c r="LNM68" s="143"/>
      <c r="LNN68" s="144"/>
      <c r="LNO68" s="144"/>
      <c r="LNP68" s="143"/>
      <c r="LNQ68" s="145"/>
      <c r="LNR68" s="143"/>
      <c r="LNS68" s="145"/>
      <c r="LNT68" s="146"/>
      <c r="LNU68" s="147"/>
      <c r="LNV68"/>
      <c r="LNW68" s="148"/>
      <c r="LNX68"/>
      <c r="LNY68" s="140"/>
      <c r="LNZ68" s="149"/>
      <c r="LOA68"/>
      <c r="LOB68" s="142"/>
      <c r="LOC68" s="143"/>
      <c r="LOD68" s="144"/>
      <c r="LOE68" s="144"/>
      <c r="LOF68" s="143"/>
      <c r="LOG68" s="145"/>
      <c r="LOH68" s="143"/>
      <c r="LOI68" s="145"/>
      <c r="LOJ68" s="146"/>
      <c r="LOK68" s="147"/>
      <c r="LOL68"/>
      <c r="LOM68" s="148"/>
      <c r="LON68"/>
      <c r="LOO68" s="140"/>
      <c r="LOP68" s="149"/>
      <c r="LOQ68"/>
      <c r="LOR68" s="142"/>
      <c r="LOS68" s="143"/>
      <c r="LOT68" s="144"/>
      <c r="LOU68" s="144"/>
      <c r="LOV68" s="143"/>
      <c r="LOW68" s="145"/>
      <c r="LOX68" s="143"/>
      <c r="LOY68" s="145"/>
      <c r="LOZ68" s="146"/>
      <c r="LPA68" s="147"/>
      <c r="LPB68"/>
      <c r="LPC68" s="148"/>
      <c r="LPD68"/>
      <c r="LPE68" s="140"/>
      <c r="LPF68" s="149"/>
      <c r="LPG68"/>
      <c r="LPH68" s="142"/>
      <c r="LPI68" s="143"/>
      <c r="LPJ68" s="144"/>
      <c r="LPK68" s="144"/>
      <c r="LPL68" s="143"/>
      <c r="LPM68" s="145"/>
      <c r="LPN68" s="143"/>
      <c r="LPO68" s="145"/>
      <c r="LPP68" s="146"/>
      <c r="LPQ68" s="147"/>
      <c r="LPR68"/>
      <c r="LPS68" s="148"/>
      <c r="LPT68"/>
      <c r="LPU68" s="140"/>
      <c r="LPV68" s="149"/>
      <c r="LPW68"/>
      <c r="LPX68" s="142"/>
      <c r="LPY68" s="143"/>
      <c r="LPZ68" s="144"/>
      <c r="LQA68" s="144"/>
      <c r="LQB68" s="143"/>
      <c r="LQC68" s="145"/>
      <c r="LQD68" s="143"/>
      <c r="LQE68" s="145"/>
      <c r="LQF68" s="146"/>
      <c r="LQG68" s="147"/>
      <c r="LQH68"/>
      <c r="LQI68" s="148"/>
      <c r="LQJ68"/>
      <c r="LQK68" s="140"/>
      <c r="LQL68" s="149"/>
      <c r="LQM68"/>
      <c r="LQN68" s="142"/>
      <c r="LQO68" s="143"/>
      <c r="LQP68" s="144"/>
      <c r="LQQ68" s="144"/>
      <c r="LQR68" s="143"/>
      <c r="LQS68" s="145"/>
      <c r="LQT68" s="143"/>
      <c r="LQU68" s="145"/>
      <c r="LQV68" s="146"/>
      <c r="LQW68" s="147"/>
      <c r="LQX68"/>
      <c r="LQY68" s="148"/>
      <c r="LQZ68"/>
      <c r="LRA68" s="140"/>
      <c r="LRB68" s="149"/>
      <c r="LRC68"/>
      <c r="LRD68" s="142"/>
      <c r="LRE68" s="143"/>
      <c r="LRF68" s="144"/>
      <c r="LRG68" s="144"/>
      <c r="LRH68" s="143"/>
      <c r="LRI68" s="145"/>
      <c r="LRJ68" s="143"/>
      <c r="LRK68" s="145"/>
      <c r="LRL68" s="146"/>
      <c r="LRM68" s="147"/>
      <c r="LRN68"/>
      <c r="LRO68" s="148"/>
      <c r="LRP68"/>
      <c r="LRQ68" s="140"/>
      <c r="LRR68" s="149"/>
      <c r="LRS68"/>
      <c r="LRT68" s="142"/>
      <c r="LRU68" s="143"/>
      <c r="LRV68" s="144"/>
      <c r="LRW68" s="144"/>
      <c r="LRX68" s="143"/>
      <c r="LRY68" s="145"/>
      <c r="LRZ68" s="143"/>
      <c r="LSA68" s="145"/>
      <c r="LSB68" s="146"/>
      <c r="LSC68" s="147"/>
      <c r="LSD68"/>
      <c r="LSE68" s="148"/>
      <c r="LSF68"/>
      <c r="LSG68" s="140"/>
      <c r="LSH68" s="149"/>
      <c r="LSI68"/>
      <c r="LSJ68" s="142"/>
      <c r="LSK68" s="143"/>
      <c r="LSL68" s="144"/>
      <c r="LSM68" s="144"/>
      <c r="LSN68" s="143"/>
      <c r="LSO68" s="145"/>
      <c r="LSP68" s="143"/>
      <c r="LSQ68" s="145"/>
      <c r="LSR68" s="146"/>
      <c r="LSS68" s="147"/>
      <c r="LST68"/>
      <c r="LSU68" s="148"/>
      <c r="LSV68"/>
      <c r="LSW68" s="140"/>
      <c r="LSX68" s="149"/>
      <c r="LSY68"/>
      <c r="LSZ68" s="142"/>
      <c r="LTA68" s="143"/>
      <c r="LTB68" s="144"/>
      <c r="LTC68" s="144"/>
      <c r="LTD68" s="143"/>
      <c r="LTE68" s="145"/>
      <c r="LTF68" s="143"/>
      <c r="LTG68" s="145"/>
      <c r="LTH68" s="146"/>
      <c r="LTI68" s="147"/>
      <c r="LTJ68"/>
      <c r="LTK68" s="148"/>
      <c r="LTL68"/>
      <c r="LTM68" s="140"/>
      <c r="LTN68" s="149"/>
      <c r="LTO68"/>
      <c r="LTP68" s="142"/>
      <c r="LTQ68" s="143"/>
      <c r="LTR68" s="144"/>
      <c r="LTS68" s="144"/>
      <c r="LTT68" s="143"/>
      <c r="LTU68" s="145"/>
      <c r="LTV68" s="143"/>
      <c r="LTW68" s="145"/>
      <c r="LTX68" s="146"/>
      <c r="LTY68" s="147"/>
      <c r="LTZ68"/>
      <c r="LUA68" s="148"/>
      <c r="LUB68"/>
      <c r="LUC68" s="140"/>
      <c r="LUD68" s="149"/>
      <c r="LUE68"/>
      <c r="LUF68" s="142"/>
      <c r="LUG68" s="143"/>
      <c r="LUH68" s="144"/>
      <c r="LUI68" s="144"/>
      <c r="LUJ68" s="143"/>
      <c r="LUK68" s="145"/>
      <c r="LUL68" s="143"/>
      <c r="LUM68" s="145"/>
      <c r="LUN68" s="146"/>
      <c r="LUO68" s="147"/>
      <c r="LUP68"/>
      <c r="LUQ68" s="148"/>
      <c r="LUR68"/>
      <c r="LUS68" s="140"/>
      <c r="LUT68" s="149"/>
      <c r="LUU68"/>
      <c r="LUV68" s="142"/>
      <c r="LUW68" s="143"/>
      <c r="LUX68" s="144"/>
      <c r="LUY68" s="144"/>
      <c r="LUZ68" s="143"/>
      <c r="LVA68" s="145"/>
      <c r="LVB68" s="143"/>
      <c r="LVC68" s="145"/>
      <c r="LVD68" s="146"/>
      <c r="LVE68" s="147"/>
      <c r="LVF68"/>
      <c r="LVG68" s="148"/>
      <c r="LVH68"/>
      <c r="LVI68" s="140"/>
      <c r="LVJ68" s="149"/>
      <c r="LVK68"/>
      <c r="LVL68" s="142"/>
      <c r="LVM68" s="143"/>
      <c r="LVN68" s="144"/>
      <c r="LVO68" s="144"/>
      <c r="LVP68" s="143"/>
      <c r="LVQ68" s="145"/>
      <c r="LVR68" s="143"/>
      <c r="LVS68" s="145"/>
      <c r="LVT68" s="146"/>
      <c r="LVU68" s="147"/>
      <c r="LVV68"/>
      <c r="LVW68" s="148"/>
      <c r="LVX68"/>
      <c r="LVY68" s="140"/>
      <c r="LVZ68" s="149"/>
      <c r="LWA68"/>
      <c r="LWB68" s="142"/>
      <c r="LWC68" s="143"/>
      <c r="LWD68" s="144"/>
      <c r="LWE68" s="144"/>
      <c r="LWF68" s="143"/>
      <c r="LWG68" s="145"/>
      <c r="LWH68" s="143"/>
      <c r="LWI68" s="145"/>
      <c r="LWJ68" s="146"/>
      <c r="LWK68" s="147"/>
      <c r="LWL68"/>
      <c r="LWM68" s="148"/>
      <c r="LWN68"/>
      <c r="LWO68" s="140"/>
      <c r="LWP68" s="149"/>
      <c r="LWQ68"/>
      <c r="LWR68" s="142"/>
      <c r="LWS68" s="143"/>
      <c r="LWT68" s="144"/>
      <c r="LWU68" s="144"/>
      <c r="LWV68" s="143"/>
      <c r="LWW68" s="145"/>
      <c r="LWX68" s="143"/>
      <c r="LWY68" s="145"/>
      <c r="LWZ68" s="146"/>
      <c r="LXA68" s="147"/>
      <c r="LXB68"/>
      <c r="LXC68" s="148"/>
      <c r="LXD68"/>
      <c r="LXE68" s="140"/>
      <c r="LXF68" s="149"/>
      <c r="LXG68"/>
      <c r="LXH68" s="142"/>
      <c r="LXI68" s="143"/>
      <c r="LXJ68" s="144"/>
      <c r="LXK68" s="144"/>
      <c r="LXL68" s="143"/>
      <c r="LXM68" s="145"/>
      <c r="LXN68" s="143"/>
      <c r="LXO68" s="145"/>
      <c r="LXP68" s="146"/>
      <c r="LXQ68" s="147"/>
      <c r="LXR68"/>
      <c r="LXS68" s="148"/>
      <c r="LXT68"/>
      <c r="LXU68" s="140"/>
      <c r="LXV68" s="149"/>
      <c r="LXW68"/>
      <c r="LXX68" s="142"/>
      <c r="LXY68" s="143"/>
      <c r="LXZ68" s="144"/>
      <c r="LYA68" s="144"/>
      <c r="LYB68" s="143"/>
      <c r="LYC68" s="145"/>
      <c r="LYD68" s="143"/>
      <c r="LYE68" s="145"/>
      <c r="LYF68" s="146"/>
      <c r="LYG68" s="147"/>
      <c r="LYH68"/>
      <c r="LYI68" s="148"/>
      <c r="LYJ68"/>
      <c r="LYK68" s="140"/>
      <c r="LYL68" s="149"/>
      <c r="LYM68"/>
      <c r="LYN68" s="142"/>
      <c r="LYO68" s="143"/>
      <c r="LYP68" s="144"/>
      <c r="LYQ68" s="144"/>
      <c r="LYR68" s="143"/>
      <c r="LYS68" s="145"/>
      <c r="LYT68" s="143"/>
      <c r="LYU68" s="145"/>
      <c r="LYV68" s="146"/>
      <c r="LYW68" s="147"/>
      <c r="LYX68"/>
      <c r="LYY68" s="148"/>
      <c r="LYZ68"/>
      <c r="LZA68" s="140"/>
      <c r="LZB68" s="149"/>
      <c r="LZC68"/>
      <c r="LZD68" s="142"/>
      <c r="LZE68" s="143"/>
      <c r="LZF68" s="144"/>
      <c r="LZG68" s="144"/>
      <c r="LZH68" s="143"/>
      <c r="LZI68" s="145"/>
      <c r="LZJ68" s="143"/>
      <c r="LZK68" s="145"/>
      <c r="LZL68" s="146"/>
      <c r="LZM68" s="147"/>
      <c r="LZN68"/>
      <c r="LZO68" s="148"/>
      <c r="LZP68"/>
      <c r="LZQ68" s="140"/>
      <c r="LZR68" s="149"/>
      <c r="LZS68"/>
      <c r="LZT68" s="142"/>
      <c r="LZU68" s="143"/>
      <c r="LZV68" s="144"/>
      <c r="LZW68" s="144"/>
      <c r="LZX68" s="143"/>
      <c r="LZY68" s="145"/>
      <c r="LZZ68" s="143"/>
      <c r="MAA68" s="145"/>
      <c r="MAB68" s="146"/>
      <c r="MAC68" s="147"/>
      <c r="MAD68"/>
      <c r="MAE68" s="148"/>
      <c r="MAF68"/>
      <c r="MAG68" s="140"/>
      <c r="MAH68" s="149"/>
      <c r="MAI68"/>
      <c r="MAJ68" s="142"/>
      <c r="MAK68" s="143"/>
      <c r="MAL68" s="144"/>
      <c r="MAM68" s="144"/>
      <c r="MAN68" s="143"/>
      <c r="MAO68" s="145"/>
      <c r="MAP68" s="143"/>
      <c r="MAQ68" s="145"/>
      <c r="MAR68" s="146"/>
      <c r="MAS68" s="147"/>
      <c r="MAT68"/>
      <c r="MAU68" s="148"/>
      <c r="MAV68"/>
      <c r="MAW68" s="140"/>
      <c r="MAX68" s="149"/>
      <c r="MAY68"/>
      <c r="MAZ68" s="142"/>
      <c r="MBA68" s="143"/>
      <c r="MBB68" s="144"/>
      <c r="MBC68" s="144"/>
      <c r="MBD68" s="143"/>
      <c r="MBE68" s="145"/>
      <c r="MBF68" s="143"/>
      <c r="MBG68" s="145"/>
      <c r="MBH68" s="146"/>
      <c r="MBI68" s="147"/>
      <c r="MBJ68"/>
      <c r="MBK68" s="148"/>
      <c r="MBL68"/>
      <c r="MBM68" s="140"/>
      <c r="MBN68" s="149"/>
      <c r="MBO68"/>
      <c r="MBP68" s="142"/>
      <c r="MBQ68" s="143"/>
      <c r="MBR68" s="144"/>
      <c r="MBS68" s="144"/>
      <c r="MBT68" s="143"/>
      <c r="MBU68" s="145"/>
      <c r="MBV68" s="143"/>
      <c r="MBW68" s="145"/>
      <c r="MBX68" s="146"/>
      <c r="MBY68" s="147"/>
      <c r="MBZ68"/>
      <c r="MCA68" s="148"/>
      <c r="MCB68"/>
      <c r="MCC68" s="140"/>
      <c r="MCD68" s="149"/>
      <c r="MCE68"/>
      <c r="MCF68" s="142"/>
      <c r="MCG68" s="143"/>
      <c r="MCH68" s="144"/>
      <c r="MCI68" s="144"/>
      <c r="MCJ68" s="143"/>
      <c r="MCK68" s="145"/>
      <c r="MCL68" s="143"/>
      <c r="MCM68" s="145"/>
      <c r="MCN68" s="146"/>
      <c r="MCO68" s="147"/>
      <c r="MCP68"/>
      <c r="MCQ68" s="148"/>
      <c r="MCR68"/>
      <c r="MCS68" s="140"/>
      <c r="MCT68" s="149"/>
      <c r="MCU68"/>
      <c r="MCV68" s="142"/>
      <c r="MCW68" s="143"/>
      <c r="MCX68" s="144"/>
      <c r="MCY68" s="144"/>
      <c r="MCZ68" s="143"/>
      <c r="MDA68" s="145"/>
      <c r="MDB68" s="143"/>
      <c r="MDC68" s="145"/>
      <c r="MDD68" s="146"/>
      <c r="MDE68" s="147"/>
      <c r="MDF68"/>
      <c r="MDG68" s="148"/>
      <c r="MDH68"/>
      <c r="MDI68" s="140"/>
      <c r="MDJ68" s="149"/>
      <c r="MDK68"/>
      <c r="MDL68" s="142"/>
      <c r="MDM68" s="143"/>
      <c r="MDN68" s="144"/>
      <c r="MDO68" s="144"/>
      <c r="MDP68" s="143"/>
      <c r="MDQ68" s="145"/>
      <c r="MDR68" s="143"/>
      <c r="MDS68" s="145"/>
      <c r="MDT68" s="146"/>
      <c r="MDU68" s="147"/>
      <c r="MDV68"/>
      <c r="MDW68" s="148"/>
      <c r="MDX68"/>
      <c r="MDY68" s="140"/>
      <c r="MDZ68" s="149"/>
      <c r="MEA68"/>
      <c r="MEB68" s="142"/>
      <c r="MEC68" s="143"/>
      <c r="MED68" s="144"/>
      <c r="MEE68" s="144"/>
      <c r="MEF68" s="143"/>
      <c r="MEG68" s="145"/>
      <c r="MEH68" s="143"/>
      <c r="MEI68" s="145"/>
      <c r="MEJ68" s="146"/>
      <c r="MEK68" s="147"/>
      <c r="MEL68"/>
      <c r="MEM68" s="148"/>
      <c r="MEN68"/>
      <c r="MEO68" s="140"/>
      <c r="MEP68" s="149"/>
      <c r="MEQ68"/>
      <c r="MER68" s="142"/>
      <c r="MES68" s="143"/>
      <c r="MET68" s="144"/>
      <c r="MEU68" s="144"/>
      <c r="MEV68" s="143"/>
      <c r="MEW68" s="145"/>
      <c r="MEX68" s="143"/>
      <c r="MEY68" s="145"/>
      <c r="MEZ68" s="146"/>
      <c r="MFA68" s="147"/>
      <c r="MFB68"/>
      <c r="MFC68" s="148"/>
      <c r="MFD68"/>
      <c r="MFE68" s="140"/>
      <c r="MFF68" s="149"/>
      <c r="MFG68"/>
      <c r="MFH68" s="142"/>
      <c r="MFI68" s="143"/>
      <c r="MFJ68" s="144"/>
      <c r="MFK68" s="144"/>
      <c r="MFL68" s="143"/>
      <c r="MFM68" s="145"/>
      <c r="MFN68" s="143"/>
      <c r="MFO68" s="145"/>
      <c r="MFP68" s="146"/>
      <c r="MFQ68" s="147"/>
      <c r="MFR68"/>
      <c r="MFS68" s="148"/>
      <c r="MFT68"/>
      <c r="MFU68" s="140"/>
      <c r="MFV68" s="149"/>
      <c r="MFW68"/>
      <c r="MFX68" s="142"/>
      <c r="MFY68" s="143"/>
      <c r="MFZ68" s="144"/>
      <c r="MGA68" s="144"/>
      <c r="MGB68" s="143"/>
      <c r="MGC68" s="145"/>
      <c r="MGD68" s="143"/>
      <c r="MGE68" s="145"/>
      <c r="MGF68" s="146"/>
      <c r="MGG68" s="147"/>
      <c r="MGH68"/>
      <c r="MGI68" s="148"/>
      <c r="MGJ68"/>
      <c r="MGK68" s="140"/>
      <c r="MGL68" s="149"/>
      <c r="MGM68"/>
      <c r="MGN68" s="142"/>
      <c r="MGO68" s="143"/>
      <c r="MGP68" s="144"/>
      <c r="MGQ68" s="144"/>
      <c r="MGR68" s="143"/>
      <c r="MGS68" s="145"/>
      <c r="MGT68" s="143"/>
      <c r="MGU68" s="145"/>
      <c r="MGV68" s="146"/>
      <c r="MGW68" s="147"/>
      <c r="MGX68"/>
      <c r="MGY68" s="148"/>
      <c r="MGZ68"/>
      <c r="MHA68" s="140"/>
      <c r="MHB68" s="149"/>
      <c r="MHC68"/>
      <c r="MHD68" s="142"/>
      <c r="MHE68" s="143"/>
      <c r="MHF68" s="144"/>
      <c r="MHG68" s="144"/>
      <c r="MHH68" s="143"/>
      <c r="MHI68" s="145"/>
      <c r="MHJ68" s="143"/>
      <c r="MHK68" s="145"/>
      <c r="MHL68" s="146"/>
      <c r="MHM68" s="147"/>
      <c r="MHN68"/>
      <c r="MHO68" s="148"/>
      <c r="MHP68"/>
      <c r="MHQ68" s="140"/>
      <c r="MHR68" s="149"/>
      <c r="MHS68"/>
      <c r="MHT68" s="142"/>
      <c r="MHU68" s="143"/>
      <c r="MHV68" s="144"/>
      <c r="MHW68" s="144"/>
      <c r="MHX68" s="143"/>
      <c r="MHY68" s="145"/>
      <c r="MHZ68" s="143"/>
      <c r="MIA68" s="145"/>
      <c r="MIB68" s="146"/>
      <c r="MIC68" s="147"/>
      <c r="MID68"/>
      <c r="MIE68" s="148"/>
      <c r="MIF68"/>
      <c r="MIG68" s="140"/>
      <c r="MIH68" s="149"/>
      <c r="MII68"/>
      <c r="MIJ68" s="142"/>
      <c r="MIK68" s="143"/>
      <c r="MIL68" s="144"/>
      <c r="MIM68" s="144"/>
      <c r="MIN68" s="143"/>
      <c r="MIO68" s="145"/>
      <c r="MIP68" s="143"/>
      <c r="MIQ68" s="145"/>
      <c r="MIR68" s="146"/>
      <c r="MIS68" s="147"/>
      <c r="MIT68"/>
      <c r="MIU68" s="148"/>
      <c r="MIV68"/>
      <c r="MIW68" s="140"/>
      <c r="MIX68" s="149"/>
      <c r="MIY68"/>
      <c r="MIZ68" s="142"/>
      <c r="MJA68" s="143"/>
      <c r="MJB68" s="144"/>
      <c r="MJC68" s="144"/>
      <c r="MJD68" s="143"/>
      <c r="MJE68" s="145"/>
      <c r="MJF68" s="143"/>
      <c r="MJG68" s="145"/>
      <c r="MJH68" s="146"/>
      <c r="MJI68" s="147"/>
      <c r="MJJ68"/>
      <c r="MJK68" s="148"/>
      <c r="MJL68"/>
      <c r="MJM68" s="140"/>
      <c r="MJN68" s="149"/>
      <c r="MJO68"/>
      <c r="MJP68" s="142"/>
      <c r="MJQ68" s="143"/>
      <c r="MJR68" s="144"/>
      <c r="MJS68" s="144"/>
      <c r="MJT68" s="143"/>
      <c r="MJU68" s="145"/>
      <c r="MJV68" s="143"/>
      <c r="MJW68" s="145"/>
      <c r="MJX68" s="146"/>
      <c r="MJY68" s="147"/>
      <c r="MJZ68"/>
      <c r="MKA68" s="148"/>
      <c r="MKB68"/>
      <c r="MKC68" s="140"/>
      <c r="MKD68" s="149"/>
      <c r="MKE68"/>
      <c r="MKF68" s="142"/>
      <c r="MKG68" s="143"/>
      <c r="MKH68" s="144"/>
      <c r="MKI68" s="144"/>
      <c r="MKJ68" s="143"/>
      <c r="MKK68" s="145"/>
      <c r="MKL68" s="143"/>
      <c r="MKM68" s="145"/>
      <c r="MKN68" s="146"/>
      <c r="MKO68" s="147"/>
      <c r="MKP68"/>
      <c r="MKQ68" s="148"/>
      <c r="MKR68"/>
      <c r="MKS68" s="140"/>
      <c r="MKT68" s="149"/>
      <c r="MKU68"/>
      <c r="MKV68" s="142"/>
      <c r="MKW68" s="143"/>
      <c r="MKX68" s="144"/>
      <c r="MKY68" s="144"/>
      <c r="MKZ68" s="143"/>
      <c r="MLA68" s="145"/>
      <c r="MLB68" s="143"/>
      <c r="MLC68" s="145"/>
      <c r="MLD68" s="146"/>
      <c r="MLE68" s="147"/>
      <c r="MLF68"/>
      <c r="MLG68" s="148"/>
      <c r="MLH68"/>
      <c r="MLI68" s="140"/>
      <c r="MLJ68" s="149"/>
      <c r="MLK68"/>
      <c r="MLL68" s="142"/>
      <c r="MLM68" s="143"/>
      <c r="MLN68" s="144"/>
      <c r="MLO68" s="144"/>
      <c r="MLP68" s="143"/>
      <c r="MLQ68" s="145"/>
      <c r="MLR68" s="143"/>
      <c r="MLS68" s="145"/>
      <c r="MLT68" s="146"/>
      <c r="MLU68" s="147"/>
      <c r="MLV68"/>
      <c r="MLW68" s="148"/>
      <c r="MLX68"/>
      <c r="MLY68" s="140"/>
      <c r="MLZ68" s="149"/>
      <c r="MMA68"/>
      <c r="MMB68" s="142"/>
      <c r="MMC68" s="143"/>
      <c r="MMD68" s="144"/>
      <c r="MME68" s="144"/>
      <c r="MMF68" s="143"/>
      <c r="MMG68" s="145"/>
      <c r="MMH68" s="143"/>
      <c r="MMI68" s="145"/>
      <c r="MMJ68" s="146"/>
      <c r="MMK68" s="147"/>
      <c r="MML68"/>
      <c r="MMM68" s="148"/>
      <c r="MMN68"/>
      <c r="MMO68" s="140"/>
      <c r="MMP68" s="149"/>
      <c r="MMQ68"/>
      <c r="MMR68" s="142"/>
      <c r="MMS68" s="143"/>
      <c r="MMT68" s="144"/>
      <c r="MMU68" s="144"/>
      <c r="MMV68" s="143"/>
      <c r="MMW68" s="145"/>
      <c r="MMX68" s="143"/>
      <c r="MMY68" s="145"/>
      <c r="MMZ68" s="146"/>
      <c r="MNA68" s="147"/>
      <c r="MNB68"/>
      <c r="MNC68" s="148"/>
      <c r="MND68"/>
      <c r="MNE68" s="140"/>
      <c r="MNF68" s="149"/>
      <c r="MNG68"/>
      <c r="MNH68" s="142"/>
      <c r="MNI68" s="143"/>
      <c r="MNJ68" s="144"/>
      <c r="MNK68" s="144"/>
      <c r="MNL68" s="143"/>
      <c r="MNM68" s="145"/>
      <c r="MNN68" s="143"/>
      <c r="MNO68" s="145"/>
      <c r="MNP68" s="146"/>
      <c r="MNQ68" s="147"/>
      <c r="MNR68"/>
      <c r="MNS68" s="148"/>
      <c r="MNT68"/>
      <c r="MNU68" s="140"/>
      <c r="MNV68" s="149"/>
      <c r="MNW68"/>
      <c r="MNX68" s="142"/>
      <c r="MNY68" s="143"/>
      <c r="MNZ68" s="144"/>
      <c r="MOA68" s="144"/>
      <c r="MOB68" s="143"/>
      <c r="MOC68" s="145"/>
      <c r="MOD68" s="143"/>
      <c r="MOE68" s="145"/>
      <c r="MOF68" s="146"/>
      <c r="MOG68" s="147"/>
      <c r="MOH68"/>
      <c r="MOI68" s="148"/>
      <c r="MOJ68"/>
      <c r="MOK68" s="140"/>
      <c r="MOL68" s="149"/>
      <c r="MOM68"/>
      <c r="MON68" s="142"/>
      <c r="MOO68" s="143"/>
      <c r="MOP68" s="144"/>
      <c r="MOQ68" s="144"/>
      <c r="MOR68" s="143"/>
      <c r="MOS68" s="145"/>
      <c r="MOT68" s="143"/>
      <c r="MOU68" s="145"/>
      <c r="MOV68" s="146"/>
      <c r="MOW68" s="147"/>
      <c r="MOX68"/>
      <c r="MOY68" s="148"/>
      <c r="MOZ68"/>
      <c r="MPA68" s="140"/>
      <c r="MPB68" s="149"/>
      <c r="MPC68"/>
      <c r="MPD68" s="142"/>
      <c r="MPE68" s="143"/>
      <c r="MPF68" s="144"/>
      <c r="MPG68" s="144"/>
      <c r="MPH68" s="143"/>
      <c r="MPI68" s="145"/>
      <c r="MPJ68" s="143"/>
      <c r="MPK68" s="145"/>
      <c r="MPL68" s="146"/>
      <c r="MPM68" s="147"/>
      <c r="MPN68"/>
      <c r="MPO68" s="148"/>
      <c r="MPP68"/>
      <c r="MPQ68" s="140"/>
      <c r="MPR68" s="149"/>
      <c r="MPS68"/>
      <c r="MPT68" s="142"/>
      <c r="MPU68" s="143"/>
      <c r="MPV68" s="144"/>
      <c r="MPW68" s="144"/>
      <c r="MPX68" s="143"/>
      <c r="MPY68" s="145"/>
      <c r="MPZ68" s="143"/>
      <c r="MQA68" s="145"/>
      <c r="MQB68" s="146"/>
      <c r="MQC68" s="147"/>
      <c r="MQD68"/>
      <c r="MQE68" s="148"/>
      <c r="MQF68"/>
      <c r="MQG68" s="140"/>
      <c r="MQH68" s="149"/>
      <c r="MQI68"/>
      <c r="MQJ68" s="142"/>
      <c r="MQK68" s="143"/>
      <c r="MQL68" s="144"/>
      <c r="MQM68" s="144"/>
      <c r="MQN68" s="143"/>
      <c r="MQO68" s="145"/>
      <c r="MQP68" s="143"/>
      <c r="MQQ68" s="145"/>
      <c r="MQR68" s="146"/>
      <c r="MQS68" s="147"/>
      <c r="MQT68"/>
      <c r="MQU68" s="148"/>
      <c r="MQV68"/>
      <c r="MQW68" s="140"/>
      <c r="MQX68" s="149"/>
      <c r="MQY68"/>
      <c r="MQZ68" s="142"/>
      <c r="MRA68" s="143"/>
      <c r="MRB68" s="144"/>
      <c r="MRC68" s="144"/>
      <c r="MRD68" s="143"/>
      <c r="MRE68" s="145"/>
      <c r="MRF68" s="143"/>
      <c r="MRG68" s="145"/>
      <c r="MRH68" s="146"/>
      <c r="MRI68" s="147"/>
      <c r="MRJ68"/>
      <c r="MRK68" s="148"/>
      <c r="MRL68"/>
      <c r="MRM68" s="140"/>
      <c r="MRN68" s="149"/>
      <c r="MRO68"/>
      <c r="MRP68" s="142"/>
      <c r="MRQ68" s="143"/>
      <c r="MRR68" s="144"/>
      <c r="MRS68" s="144"/>
      <c r="MRT68" s="143"/>
      <c r="MRU68" s="145"/>
      <c r="MRV68" s="143"/>
      <c r="MRW68" s="145"/>
      <c r="MRX68" s="146"/>
      <c r="MRY68" s="147"/>
      <c r="MRZ68"/>
      <c r="MSA68" s="148"/>
      <c r="MSB68"/>
      <c r="MSC68" s="140"/>
      <c r="MSD68" s="149"/>
      <c r="MSE68"/>
      <c r="MSF68" s="142"/>
      <c r="MSG68" s="143"/>
      <c r="MSH68" s="144"/>
      <c r="MSI68" s="144"/>
      <c r="MSJ68" s="143"/>
      <c r="MSK68" s="145"/>
      <c r="MSL68" s="143"/>
      <c r="MSM68" s="145"/>
      <c r="MSN68" s="146"/>
      <c r="MSO68" s="147"/>
      <c r="MSP68"/>
      <c r="MSQ68" s="148"/>
      <c r="MSR68"/>
      <c r="MSS68" s="140"/>
      <c r="MST68" s="149"/>
      <c r="MSU68"/>
      <c r="MSV68" s="142"/>
      <c r="MSW68" s="143"/>
      <c r="MSX68" s="144"/>
      <c r="MSY68" s="144"/>
      <c r="MSZ68" s="143"/>
      <c r="MTA68" s="145"/>
      <c r="MTB68" s="143"/>
      <c r="MTC68" s="145"/>
      <c r="MTD68" s="146"/>
      <c r="MTE68" s="147"/>
      <c r="MTF68"/>
      <c r="MTG68" s="148"/>
      <c r="MTH68"/>
      <c r="MTI68" s="140"/>
      <c r="MTJ68" s="149"/>
      <c r="MTK68"/>
      <c r="MTL68" s="142"/>
      <c r="MTM68" s="143"/>
      <c r="MTN68" s="144"/>
      <c r="MTO68" s="144"/>
      <c r="MTP68" s="143"/>
      <c r="MTQ68" s="145"/>
      <c r="MTR68" s="143"/>
      <c r="MTS68" s="145"/>
      <c r="MTT68" s="146"/>
      <c r="MTU68" s="147"/>
      <c r="MTV68"/>
      <c r="MTW68" s="148"/>
      <c r="MTX68"/>
      <c r="MTY68" s="140"/>
      <c r="MTZ68" s="149"/>
      <c r="MUA68"/>
      <c r="MUB68" s="142"/>
      <c r="MUC68" s="143"/>
      <c r="MUD68" s="144"/>
      <c r="MUE68" s="144"/>
      <c r="MUF68" s="143"/>
      <c r="MUG68" s="145"/>
      <c r="MUH68" s="143"/>
      <c r="MUI68" s="145"/>
      <c r="MUJ68" s="146"/>
      <c r="MUK68" s="147"/>
      <c r="MUL68"/>
      <c r="MUM68" s="148"/>
      <c r="MUN68"/>
      <c r="MUO68" s="140"/>
      <c r="MUP68" s="149"/>
      <c r="MUQ68"/>
      <c r="MUR68" s="142"/>
      <c r="MUS68" s="143"/>
      <c r="MUT68" s="144"/>
      <c r="MUU68" s="144"/>
      <c r="MUV68" s="143"/>
      <c r="MUW68" s="145"/>
      <c r="MUX68" s="143"/>
      <c r="MUY68" s="145"/>
      <c r="MUZ68" s="146"/>
      <c r="MVA68" s="147"/>
      <c r="MVB68"/>
      <c r="MVC68" s="148"/>
      <c r="MVD68"/>
      <c r="MVE68" s="140"/>
      <c r="MVF68" s="149"/>
      <c r="MVG68"/>
      <c r="MVH68" s="142"/>
      <c r="MVI68" s="143"/>
      <c r="MVJ68" s="144"/>
      <c r="MVK68" s="144"/>
      <c r="MVL68" s="143"/>
      <c r="MVM68" s="145"/>
      <c r="MVN68" s="143"/>
      <c r="MVO68" s="145"/>
      <c r="MVP68" s="146"/>
      <c r="MVQ68" s="147"/>
      <c r="MVR68"/>
      <c r="MVS68" s="148"/>
      <c r="MVT68"/>
      <c r="MVU68" s="140"/>
      <c r="MVV68" s="149"/>
      <c r="MVW68"/>
      <c r="MVX68" s="142"/>
      <c r="MVY68" s="143"/>
      <c r="MVZ68" s="144"/>
      <c r="MWA68" s="144"/>
      <c r="MWB68" s="143"/>
      <c r="MWC68" s="145"/>
      <c r="MWD68" s="143"/>
      <c r="MWE68" s="145"/>
      <c r="MWF68" s="146"/>
      <c r="MWG68" s="147"/>
      <c r="MWH68"/>
      <c r="MWI68" s="148"/>
      <c r="MWJ68"/>
      <c r="MWK68" s="140"/>
      <c r="MWL68" s="149"/>
      <c r="MWM68"/>
      <c r="MWN68" s="142"/>
      <c r="MWO68" s="143"/>
      <c r="MWP68" s="144"/>
      <c r="MWQ68" s="144"/>
      <c r="MWR68" s="143"/>
      <c r="MWS68" s="145"/>
      <c r="MWT68" s="143"/>
      <c r="MWU68" s="145"/>
      <c r="MWV68" s="146"/>
      <c r="MWW68" s="147"/>
      <c r="MWX68"/>
      <c r="MWY68" s="148"/>
      <c r="MWZ68"/>
      <c r="MXA68" s="140"/>
      <c r="MXB68" s="149"/>
      <c r="MXC68"/>
      <c r="MXD68" s="142"/>
      <c r="MXE68" s="143"/>
      <c r="MXF68" s="144"/>
      <c r="MXG68" s="144"/>
      <c r="MXH68" s="143"/>
      <c r="MXI68" s="145"/>
      <c r="MXJ68" s="143"/>
      <c r="MXK68" s="145"/>
      <c r="MXL68" s="146"/>
      <c r="MXM68" s="147"/>
      <c r="MXN68"/>
      <c r="MXO68" s="148"/>
      <c r="MXP68"/>
      <c r="MXQ68" s="140"/>
      <c r="MXR68" s="149"/>
      <c r="MXS68"/>
      <c r="MXT68" s="142"/>
      <c r="MXU68" s="143"/>
      <c r="MXV68" s="144"/>
      <c r="MXW68" s="144"/>
      <c r="MXX68" s="143"/>
      <c r="MXY68" s="145"/>
      <c r="MXZ68" s="143"/>
      <c r="MYA68" s="145"/>
      <c r="MYB68" s="146"/>
      <c r="MYC68" s="147"/>
      <c r="MYD68"/>
      <c r="MYE68" s="148"/>
      <c r="MYF68"/>
      <c r="MYG68" s="140"/>
      <c r="MYH68" s="149"/>
      <c r="MYI68"/>
      <c r="MYJ68" s="142"/>
      <c r="MYK68" s="143"/>
      <c r="MYL68" s="144"/>
      <c r="MYM68" s="144"/>
      <c r="MYN68" s="143"/>
      <c r="MYO68" s="145"/>
      <c r="MYP68" s="143"/>
      <c r="MYQ68" s="145"/>
      <c r="MYR68" s="146"/>
      <c r="MYS68" s="147"/>
      <c r="MYT68"/>
      <c r="MYU68" s="148"/>
      <c r="MYV68"/>
      <c r="MYW68" s="140"/>
      <c r="MYX68" s="149"/>
      <c r="MYY68"/>
      <c r="MYZ68" s="142"/>
      <c r="MZA68" s="143"/>
      <c r="MZB68" s="144"/>
      <c r="MZC68" s="144"/>
      <c r="MZD68" s="143"/>
      <c r="MZE68" s="145"/>
      <c r="MZF68" s="143"/>
      <c r="MZG68" s="145"/>
      <c r="MZH68" s="146"/>
      <c r="MZI68" s="147"/>
      <c r="MZJ68"/>
      <c r="MZK68" s="148"/>
      <c r="MZL68"/>
      <c r="MZM68" s="140"/>
      <c r="MZN68" s="149"/>
      <c r="MZO68"/>
      <c r="MZP68" s="142"/>
      <c r="MZQ68" s="143"/>
      <c r="MZR68" s="144"/>
      <c r="MZS68" s="144"/>
      <c r="MZT68" s="143"/>
      <c r="MZU68" s="145"/>
      <c r="MZV68" s="143"/>
      <c r="MZW68" s="145"/>
      <c r="MZX68" s="146"/>
      <c r="MZY68" s="147"/>
      <c r="MZZ68"/>
      <c r="NAA68" s="148"/>
      <c r="NAB68"/>
      <c r="NAC68" s="140"/>
      <c r="NAD68" s="149"/>
      <c r="NAE68"/>
      <c r="NAF68" s="142"/>
      <c r="NAG68" s="143"/>
      <c r="NAH68" s="144"/>
      <c r="NAI68" s="144"/>
      <c r="NAJ68" s="143"/>
      <c r="NAK68" s="145"/>
      <c r="NAL68" s="143"/>
      <c r="NAM68" s="145"/>
      <c r="NAN68" s="146"/>
      <c r="NAO68" s="147"/>
      <c r="NAP68"/>
      <c r="NAQ68" s="148"/>
      <c r="NAR68"/>
      <c r="NAS68" s="140"/>
      <c r="NAT68" s="149"/>
      <c r="NAU68"/>
      <c r="NAV68" s="142"/>
      <c r="NAW68" s="143"/>
      <c r="NAX68" s="144"/>
      <c r="NAY68" s="144"/>
      <c r="NAZ68" s="143"/>
      <c r="NBA68" s="145"/>
      <c r="NBB68" s="143"/>
      <c r="NBC68" s="145"/>
      <c r="NBD68" s="146"/>
      <c r="NBE68" s="147"/>
      <c r="NBF68"/>
      <c r="NBG68" s="148"/>
      <c r="NBH68"/>
      <c r="NBI68" s="140"/>
      <c r="NBJ68" s="149"/>
      <c r="NBK68"/>
      <c r="NBL68" s="142"/>
      <c r="NBM68" s="143"/>
      <c r="NBN68" s="144"/>
      <c r="NBO68" s="144"/>
      <c r="NBP68" s="143"/>
      <c r="NBQ68" s="145"/>
      <c r="NBR68" s="143"/>
      <c r="NBS68" s="145"/>
      <c r="NBT68" s="146"/>
      <c r="NBU68" s="147"/>
      <c r="NBV68"/>
      <c r="NBW68" s="148"/>
      <c r="NBX68"/>
      <c r="NBY68" s="140"/>
      <c r="NBZ68" s="149"/>
      <c r="NCA68"/>
      <c r="NCB68" s="142"/>
      <c r="NCC68" s="143"/>
      <c r="NCD68" s="144"/>
      <c r="NCE68" s="144"/>
      <c r="NCF68" s="143"/>
      <c r="NCG68" s="145"/>
      <c r="NCH68" s="143"/>
      <c r="NCI68" s="145"/>
      <c r="NCJ68" s="146"/>
      <c r="NCK68" s="147"/>
      <c r="NCL68"/>
      <c r="NCM68" s="148"/>
      <c r="NCN68"/>
      <c r="NCO68" s="140"/>
      <c r="NCP68" s="149"/>
      <c r="NCQ68"/>
      <c r="NCR68" s="142"/>
      <c r="NCS68" s="143"/>
      <c r="NCT68" s="144"/>
      <c r="NCU68" s="144"/>
      <c r="NCV68" s="143"/>
      <c r="NCW68" s="145"/>
      <c r="NCX68" s="143"/>
      <c r="NCY68" s="145"/>
      <c r="NCZ68" s="146"/>
      <c r="NDA68" s="147"/>
      <c r="NDB68"/>
      <c r="NDC68" s="148"/>
      <c r="NDD68"/>
      <c r="NDE68" s="140"/>
      <c r="NDF68" s="149"/>
      <c r="NDG68"/>
      <c r="NDH68" s="142"/>
      <c r="NDI68" s="143"/>
      <c r="NDJ68" s="144"/>
      <c r="NDK68" s="144"/>
      <c r="NDL68" s="143"/>
      <c r="NDM68" s="145"/>
      <c r="NDN68" s="143"/>
      <c r="NDO68" s="145"/>
      <c r="NDP68" s="146"/>
      <c r="NDQ68" s="147"/>
      <c r="NDR68"/>
      <c r="NDS68" s="148"/>
      <c r="NDT68"/>
      <c r="NDU68" s="140"/>
      <c r="NDV68" s="149"/>
      <c r="NDW68"/>
      <c r="NDX68" s="142"/>
      <c r="NDY68" s="143"/>
      <c r="NDZ68" s="144"/>
      <c r="NEA68" s="144"/>
      <c r="NEB68" s="143"/>
      <c r="NEC68" s="145"/>
      <c r="NED68" s="143"/>
      <c r="NEE68" s="145"/>
      <c r="NEF68" s="146"/>
      <c r="NEG68" s="147"/>
      <c r="NEH68"/>
      <c r="NEI68" s="148"/>
      <c r="NEJ68"/>
      <c r="NEK68" s="140"/>
      <c r="NEL68" s="149"/>
      <c r="NEM68"/>
      <c r="NEN68" s="142"/>
      <c r="NEO68" s="143"/>
      <c r="NEP68" s="144"/>
      <c r="NEQ68" s="144"/>
      <c r="NER68" s="143"/>
      <c r="NES68" s="145"/>
      <c r="NET68" s="143"/>
      <c r="NEU68" s="145"/>
      <c r="NEV68" s="146"/>
      <c r="NEW68" s="147"/>
      <c r="NEX68"/>
      <c r="NEY68" s="148"/>
      <c r="NEZ68"/>
      <c r="NFA68" s="140"/>
      <c r="NFB68" s="149"/>
      <c r="NFC68"/>
      <c r="NFD68" s="142"/>
      <c r="NFE68" s="143"/>
      <c r="NFF68" s="144"/>
      <c r="NFG68" s="144"/>
      <c r="NFH68" s="143"/>
      <c r="NFI68" s="145"/>
      <c r="NFJ68" s="143"/>
      <c r="NFK68" s="145"/>
      <c r="NFL68" s="146"/>
      <c r="NFM68" s="147"/>
      <c r="NFN68"/>
      <c r="NFO68" s="148"/>
      <c r="NFP68"/>
      <c r="NFQ68" s="140"/>
      <c r="NFR68" s="149"/>
      <c r="NFS68"/>
      <c r="NFT68" s="142"/>
      <c r="NFU68" s="143"/>
      <c r="NFV68" s="144"/>
      <c r="NFW68" s="144"/>
      <c r="NFX68" s="143"/>
      <c r="NFY68" s="145"/>
      <c r="NFZ68" s="143"/>
      <c r="NGA68" s="145"/>
      <c r="NGB68" s="146"/>
      <c r="NGC68" s="147"/>
      <c r="NGD68"/>
      <c r="NGE68" s="148"/>
      <c r="NGF68"/>
      <c r="NGG68" s="140"/>
      <c r="NGH68" s="149"/>
      <c r="NGI68"/>
      <c r="NGJ68" s="142"/>
      <c r="NGK68" s="143"/>
      <c r="NGL68" s="144"/>
      <c r="NGM68" s="144"/>
      <c r="NGN68" s="143"/>
      <c r="NGO68" s="145"/>
      <c r="NGP68" s="143"/>
      <c r="NGQ68" s="145"/>
      <c r="NGR68" s="146"/>
      <c r="NGS68" s="147"/>
      <c r="NGT68"/>
      <c r="NGU68" s="148"/>
      <c r="NGV68"/>
      <c r="NGW68" s="140"/>
      <c r="NGX68" s="149"/>
      <c r="NGY68"/>
      <c r="NGZ68" s="142"/>
      <c r="NHA68" s="143"/>
      <c r="NHB68" s="144"/>
      <c r="NHC68" s="144"/>
      <c r="NHD68" s="143"/>
      <c r="NHE68" s="145"/>
      <c r="NHF68" s="143"/>
      <c r="NHG68" s="145"/>
      <c r="NHH68" s="146"/>
      <c r="NHI68" s="147"/>
      <c r="NHJ68"/>
      <c r="NHK68" s="148"/>
      <c r="NHL68"/>
      <c r="NHM68" s="140"/>
      <c r="NHN68" s="149"/>
      <c r="NHO68"/>
      <c r="NHP68" s="142"/>
      <c r="NHQ68" s="143"/>
      <c r="NHR68" s="144"/>
      <c r="NHS68" s="144"/>
      <c r="NHT68" s="143"/>
      <c r="NHU68" s="145"/>
      <c r="NHV68" s="143"/>
      <c r="NHW68" s="145"/>
      <c r="NHX68" s="146"/>
      <c r="NHY68" s="147"/>
      <c r="NHZ68"/>
      <c r="NIA68" s="148"/>
      <c r="NIB68"/>
      <c r="NIC68" s="140"/>
      <c r="NID68" s="149"/>
      <c r="NIE68"/>
      <c r="NIF68" s="142"/>
      <c r="NIG68" s="143"/>
      <c r="NIH68" s="144"/>
      <c r="NII68" s="144"/>
      <c r="NIJ68" s="143"/>
      <c r="NIK68" s="145"/>
      <c r="NIL68" s="143"/>
      <c r="NIM68" s="145"/>
      <c r="NIN68" s="146"/>
      <c r="NIO68" s="147"/>
      <c r="NIP68"/>
      <c r="NIQ68" s="148"/>
      <c r="NIR68"/>
      <c r="NIS68" s="140"/>
      <c r="NIT68" s="149"/>
      <c r="NIU68"/>
      <c r="NIV68" s="142"/>
      <c r="NIW68" s="143"/>
      <c r="NIX68" s="144"/>
      <c r="NIY68" s="144"/>
      <c r="NIZ68" s="143"/>
      <c r="NJA68" s="145"/>
      <c r="NJB68" s="143"/>
      <c r="NJC68" s="145"/>
      <c r="NJD68" s="146"/>
      <c r="NJE68" s="147"/>
      <c r="NJF68"/>
      <c r="NJG68" s="148"/>
      <c r="NJH68"/>
      <c r="NJI68" s="140"/>
      <c r="NJJ68" s="149"/>
      <c r="NJK68"/>
      <c r="NJL68" s="142"/>
      <c r="NJM68" s="143"/>
      <c r="NJN68" s="144"/>
      <c r="NJO68" s="144"/>
      <c r="NJP68" s="143"/>
      <c r="NJQ68" s="145"/>
      <c r="NJR68" s="143"/>
      <c r="NJS68" s="145"/>
      <c r="NJT68" s="146"/>
      <c r="NJU68" s="147"/>
      <c r="NJV68"/>
      <c r="NJW68" s="148"/>
      <c r="NJX68"/>
      <c r="NJY68" s="140"/>
      <c r="NJZ68" s="149"/>
      <c r="NKA68"/>
      <c r="NKB68" s="142"/>
      <c r="NKC68" s="143"/>
      <c r="NKD68" s="144"/>
      <c r="NKE68" s="144"/>
      <c r="NKF68" s="143"/>
      <c r="NKG68" s="145"/>
      <c r="NKH68" s="143"/>
      <c r="NKI68" s="145"/>
      <c r="NKJ68" s="146"/>
      <c r="NKK68" s="147"/>
      <c r="NKL68"/>
      <c r="NKM68" s="148"/>
      <c r="NKN68"/>
      <c r="NKO68" s="140"/>
      <c r="NKP68" s="149"/>
      <c r="NKQ68"/>
      <c r="NKR68" s="142"/>
      <c r="NKS68" s="143"/>
      <c r="NKT68" s="144"/>
      <c r="NKU68" s="144"/>
      <c r="NKV68" s="143"/>
      <c r="NKW68" s="145"/>
      <c r="NKX68" s="143"/>
      <c r="NKY68" s="145"/>
      <c r="NKZ68" s="146"/>
      <c r="NLA68" s="147"/>
      <c r="NLB68"/>
      <c r="NLC68" s="148"/>
      <c r="NLD68"/>
      <c r="NLE68" s="140"/>
      <c r="NLF68" s="149"/>
      <c r="NLG68"/>
      <c r="NLH68" s="142"/>
      <c r="NLI68" s="143"/>
      <c r="NLJ68" s="144"/>
      <c r="NLK68" s="144"/>
      <c r="NLL68" s="143"/>
      <c r="NLM68" s="145"/>
      <c r="NLN68" s="143"/>
      <c r="NLO68" s="145"/>
      <c r="NLP68" s="146"/>
      <c r="NLQ68" s="147"/>
      <c r="NLR68"/>
      <c r="NLS68" s="148"/>
      <c r="NLT68"/>
      <c r="NLU68" s="140"/>
      <c r="NLV68" s="149"/>
      <c r="NLW68"/>
      <c r="NLX68" s="142"/>
      <c r="NLY68" s="143"/>
      <c r="NLZ68" s="144"/>
      <c r="NMA68" s="144"/>
      <c r="NMB68" s="143"/>
      <c r="NMC68" s="145"/>
      <c r="NMD68" s="143"/>
      <c r="NME68" s="145"/>
      <c r="NMF68" s="146"/>
      <c r="NMG68" s="147"/>
      <c r="NMH68"/>
      <c r="NMI68" s="148"/>
      <c r="NMJ68"/>
      <c r="NMK68" s="140"/>
      <c r="NML68" s="149"/>
      <c r="NMM68"/>
      <c r="NMN68" s="142"/>
      <c r="NMO68" s="143"/>
      <c r="NMP68" s="144"/>
      <c r="NMQ68" s="144"/>
      <c r="NMR68" s="143"/>
      <c r="NMS68" s="145"/>
      <c r="NMT68" s="143"/>
      <c r="NMU68" s="145"/>
      <c r="NMV68" s="146"/>
      <c r="NMW68" s="147"/>
      <c r="NMX68"/>
      <c r="NMY68" s="148"/>
      <c r="NMZ68"/>
      <c r="NNA68" s="140"/>
      <c r="NNB68" s="149"/>
      <c r="NNC68"/>
      <c r="NND68" s="142"/>
      <c r="NNE68" s="143"/>
      <c r="NNF68" s="144"/>
      <c r="NNG68" s="144"/>
      <c r="NNH68" s="143"/>
      <c r="NNI68" s="145"/>
      <c r="NNJ68" s="143"/>
      <c r="NNK68" s="145"/>
      <c r="NNL68" s="146"/>
      <c r="NNM68" s="147"/>
      <c r="NNN68"/>
      <c r="NNO68" s="148"/>
      <c r="NNP68"/>
      <c r="NNQ68" s="140"/>
      <c r="NNR68" s="149"/>
      <c r="NNS68"/>
      <c r="NNT68" s="142"/>
      <c r="NNU68" s="143"/>
      <c r="NNV68" s="144"/>
      <c r="NNW68" s="144"/>
      <c r="NNX68" s="143"/>
      <c r="NNY68" s="145"/>
      <c r="NNZ68" s="143"/>
      <c r="NOA68" s="145"/>
      <c r="NOB68" s="146"/>
      <c r="NOC68" s="147"/>
      <c r="NOD68"/>
      <c r="NOE68" s="148"/>
      <c r="NOF68"/>
      <c r="NOG68" s="140"/>
      <c r="NOH68" s="149"/>
      <c r="NOI68"/>
      <c r="NOJ68" s="142"/>
      <c r="NOK68" s="143"/>
      <c r="NOL68" s="144"/>
      <c r="NOM68" s="144"/>
      <c r="NON68" s="143"/>
      <c r="NOO68" s="145"/>
      <c r="NOP68" s="143"/>
      <c r="NOQ68" s="145"/>
      <c r="NOR68" s="146"/>
      <c r="NOS68" s="147"/>
      <c r="NOT68"/>
      <c r="NOU68" s="148"/>
      <c r="NOV68"/>
      <c r="NOW68" s="140"/>
      <c r="NOX68" s="149"/>
      <c r="NOY68"/>
      <c r="NOZ68" s="142"/>
      <c r="NPA68" s="143"/>
      <c r="NPB68" s="144"/>
      <c r="NPC68" s="144"/>
      <c r="NPD68" s="143"/>
      <c r="NPE68" s="145"/>
      <c r="NPF68" s="143"/>
      <c r="NPG68" s="145"/>
      <c r="NPH68" s="146"/>
      <c r="NPI68" s="147"/>
      <c r="NPJ68"/>
      <c r="NPK68" s="148"/>
      <c r="NPL68"/>
      <c r="NPM68" s="140"/>
      <c r="NPN68" s="149"/>
      <c r="NPO68"/>
      <c r="NPP68" s="142"/>
      <c r="NPQ68" s="143"/>
      <c r="NPR68" s="144"/>
      <c r="NPS68" s="144"/>
      <c r="NPT68" s="143"/>
      <c r="NPU68" s="145"/>
      <c r="NPV68" s="143"/>
      <c r="NPW68" s="145"/>
      <c r="NPX68" s="146"/>
      <c r="NPY68" s="147"/>
      <c r="NPZ68"/>
      <c r="NQA68" s="148"/>
      <c r="NQB68"/>
      <c r="NQC68" s="140"/>
      <c r="NQD68" s="149"/>
      <c r="NQE68"/>
      <c r="NQF68" s="142"/>
      <c r="NQG68" s="143"/>
      <c r="NQH68" s="144"/>
      <c r="NQI68" s="144"/>
      <c r="NQJ68" s="143"/>
      <c r="NQK68" s="145"/>
      <c r="NQL68" s="143"/>
      <c r="NQM68" s="145"/>
      <c r="NQN68" s="146"/>
      <c r="NQO68" s="147"/>
      <c r="NQP68"/>
      <c r="NQQ68" s="148"/>
      <c r="NQR68"/>
      <c r="NQS68" s="140"/>
      <c r="NQT68" s="149"/>
      <c r="NQU68"/>
      <c r="NQV68" s="142"/>
      <c r="NQW68" s="143"/>
      <c r="NQX68" s="144"/>
      <c r="NQY68" s="144"/>
      <c r="NQZ68" s="143"/>
      <c r="NRA68" s="145"/>
      <c r="NRB68" s="143"/>
      <c r="NRC68" s="145"/>
      <c r="NRD68" s="146"/>
      <c r="NRE68" s="147"/>
      <c r="NRF68"/>
      <c r="NRG68" s="148"/>
      <c r="NRH68"/>
      <c r="NRI68" s="140"/>
      <c r="NRJ68" s="149"/>
      <c r="NRK68"/>
      <c r="NRL68" s="142"/>
      <c r="NRM68" s="143"/>
      <c r="NRN68" s="144"/>
      <c r="NRO68" s="144"/>
      <c r="NRP68" s="143"/>
      <c r="NRQ68" s="145"/>
      <c r="NRR68" s="143"/>
      <c r="NRS68" s="145"/>
      <c r="NRT68" s="146"/>
      <c r="NRU68" s="147"/>
      <c r="NRV68"/>
      <c r="NRW68" s="148"/>
      <c r="NRX68"/>
      <c r="NRY68" s="140"/>
      <c r="NRZ68" s="149"/>
      <c r="NSA68"/>
      <c r="NSB68" s="142"/>
      <c r="NSC68" s="143"/>
      <c r="NSD68" s="144"/>
      <c r="NSE68" s="144"/>
      <c r="NSF68" s="143"/>
      <c r="NSG68" s="145"/>
      <c r="NSH68" s="143"/>
      <c r="NSI68" s="145"/>
      <c r="NSJ68" s="146"/>
      <c r="NSK68" s="147"/>
      <c r="NSL68"/>
      <c r="NSM68" s="148"/>
      <c r="NSN68"/>
      <c r="NSO68" s="140"/>
      <c r="NSP68" s="149"/>
      <c r="NSQ68"/>
      <c r="NSR68" s="142"/>
      <c r="NSS68" s="143"/>
      <c r="NST68" s="144"/>
      <c r="NSU68" s="144"/>
      <c r="NSV68" s="143"/>
      <c r="NSW68" s="145"/>
      <c r="NSX68" s="143"/>
      <c r="NSY68" s="145"/>
      <c r="NSZ68" s="146"/>
      <c r="NTA68" s="147"/>
      <c r="NTB68"/>
      <c r="NTC68" s="148"/>
      <c r="NTD68"/>
      <c r="NTE68" s="140"/>
      <c r="NTF68" s="149"/>
      <c r="NTG68"/>
      <c r="NTH68" s="142"/>
      <c r="NTI68" s="143"/>
      <c r="NTJ68" s="144"/>
      <c r="NTK68" s="144"/>
      <c r="NTL68" s="143"/>
      <c r="NTM68" s="145"/>
      <c r="NTN68" s="143"/>
      <c r="NTO68" s="145"/>
      <c r="NTP68" s="146"/>
      <c r="NTQ68" s="147"/>
      <c r="NTR68"/>
      <c r="NTS68" s="148"/>
      <c r="NTT68"/>
      <c r="NTU68" s="140"/>
      <c r="NTV68" s="149"/>
      <c r="NTW68"/>
      <c r="NTX68" s="142"/>
      <c r="NTY68" s="143"/>
      <c r="NTZ68" s="144"/>
      <c r="NUA68" s="144"/>
      <c r="NUB68" s="143"/>
      <c r="NUC68" s="145"/>
      <c r="NUD68" s="143"/>
      <c r="NUE68" s="145"/>
      <c r="NUF68" s="146"/>
      <c r="NUG68" s="147"/>
      <c r="NUH68"/>
      <c r="NUI68" s="148"/>
      <c r="NUJ68"/>
      <c r="NUK68" s="140"/>
      <c r="NUL68" s="149"/>
      <c r="NUM68"/>
      <c r="NUN68" s="142"/>
      <c r="NUO68" s="143"/>
      <c r="NUP68" s="144"/>
      <c r="NUQ68" s="144"/>
      <c r="NUR68" s="143"/>
      <c r="NUS68" s="145"/>
      <c r="NUT68" s="143"/>
      <c r="NUU68" s="145"/>
      <c r="NUV68" s="146"/>
      <c r="NUW68" s="147"/>
      <c r="NUX68"/>
      <c r="NUY68" s="148"/>
      <c r="NUZ68"/>
      <c r="NVA68" s="140"/>
      <c r="NVB68" s="149"/>
      <c r="NVC68"/>
      <c r="NVD68" s="142"/>
      <c r="NVE68" s="143"/>
      <c r="NVF68" s="144"/>
      <c r="NVG68" s="144"/>
      <c r="NVH68" s="143"/>
      <c r="NVI68" s="145"/>
      <c r="NVJ68" s="143"/>
      <c r="NVK68" s="145"/>
      <c r="NVL68" s="146"/>
      <c r="NVM68" s="147"/>
      <c r="NVN68"/>
      <c r="NVO68" s="148"/>
      <c r="NVP68"/>
      <c r="NVQ68" s="140"/>
      <c r="NVR68" s="149"/>
      <c r="NVS68"/>
      <c r="NVT68" s="142"/>
      <c r="NVU68" s="143"/>
      <c r="NVV68" s="144"/>
      <c r="NVW68" s="144"/>
      <c r="NVX68" s="143"/>
      <c r="NVY68" s="145"/>
      <c r="NVZ68" s="143"/>
      <c r="NWA68" s="145"/>
      <c r="NWB68" s="146"/>
      <c r="NWC68" s="147"/>
      <c r="NWD68"/>
      <c r="NWE68" s="148"/>
      <c r="NWF68"/>
      <c r="NWG68" s="140"/>
      <c r="NWH68" s="149"/>
      <c r="NWI68"/>
      <c r="NWJ68" s="142"/>
      <c r="NWK68" s="143"/>
      <c r="NWL68" s="144"/>
      <c r="NWM68" s="144"/>
      <c r="NWN68" s="143"/>
      <c r="NWO68" s="145"/>
      <c r="NWP68" s="143"/>
      <c r="NWQ68" s="145"/>
      <c r="NWR68" s="146"/>
      <c r="NWS68" s="147"/>
      <c r="NWT68"/>
      <c r="NWU68" s="148"/>
      <c r="NWV68"/>
      <c r="NWW68" s="140"/>
      <c r="NWX68" s="149"/>
      <c r="NWY68"/>
      <c r="NWZ68" s="142"/>
      <c r="NXA68" s="143"/>
      <c r="NXB68" s="144"/>
      <c r="NXC68" s="144"/>
      <c r="NXD68" s="143"/>
      <c r="NXE68" s="145"/>
      <c r="NXF68" s="143"/>
      <c r="NXG68" s="145"/>
      <c r="NXH68" s="146"/>
      <c r="NXI68" s="147"/>
      <c r="NXJ68"/>
      <c r="NXK68" s="148"/>
      <c r="NXL68"/>
      <c r="NXM68" s="140"/>
      <c r="NXN68" s="149"/>
      <c r="NXO68"/>
      <c r="NXP68" s="142"/>
      <c r="NXQ68" s="143"/>
      <c r="NXR68" s="144"/>
      <c r="NXS68" s="144"/>
      <c r="NXT68" s="143"/>
      <c r="NXU68" s="145"/>
      <c r="NXV68" s="143"/>
      <c r="NXW68" s="145"/>
      <c r="NXX68" s="146"/>
      <c r="NXY68" s="147"/>
      <c r="NXZ68"/>
      <c r="NYA68" s="148"/>
      <c r="NYB68"/>
      <c r="NYC68" s="140"/>
      <c r="NYD68" s="149"/>
      <c r="NYE68"/>
      <c r="NYF68" s="142"/>
      <c r="NYG68" s="143"/>
      <c r="NYH68" s="144"/>
      <c r="NYI68" s="144"/>
      <c r="NYJ68" s="143"/>
      <c r="NYK68" s="145"/>
      <c r="NYL68" s="143"/>
      <c r="NYM68" s="145"/>
      <c r="NYN68" s="146"/>
      <c r="NYO68" s="147"/>
      <c r="NYP68"/>
      <c r="NYQ68" s="148"/>
      <c r="NYR68"/>
      <c r="NYS68" s="140"/>
      <c r="NYT68" s="149"/>
      <c r="NYU68"/>
      <c r="NYV68" s="142"/>
      <c r="NYW68" s="143"/>
      <c r="NYX68" s="144"/>
      <c r="NYY68" s="144"/>
      <c r="NYZ68" s="143"/>
      <c r="NZA68" s="145"/>
      <c r="NZB68" s="143"/>
      <c r="NZC68" s="145"/>
      <c r="NZD68" s="146"/>
      <c r="NZE68" s="147"/>
      <c r="NZF68"/>
      <c r="NZG68" s="148"/>
      <c r="NZH68"/>
      <c r="NZI68" s="140"/>
      <c r="NZJ68" s="149"/>
      <c r="NZK68"/>
      <c r="NZL68" s="142"/>
      <c r="NZM68" s="143"/>
      <c r="NZN68" s="144"/>
      <c r="NZO68" s="144"/>
      <c r="NZP68" s="143"/>
      <c r="NZQ68" s="145"/>
      <c r="NZR68" s="143"/>
      <c r="NZS68" s="145"/>
      <c r="NZT68" s="146"/>
      <c r="NZU68" s="147"/>
      <c r="NZV68"/>
      <c r="NZW68" s="148"/>
      <c r="NZX68"/>
      <c r="NZY68" s="140"/>
      <c r="NZZ68" s="149"/>
      <c r="OAA68"/>
      <c r="OAB68" s="142"/>
      <c r="OAC68" s="143"/>
      <c r="OAD68" s="144"/>
      <c r="OAE68" s="144"/>
      <c r="OAF68" s="143"/>
      <c r="OAG68" s="145"/>
      <c r="OAH68" s="143"/>
      <c r="OAI68" s="145"/>
      <c r="OAJ68" s="146"/>
      <c r="OAK68" s="147"/>
      <c r="OAL68"/>
      <c r="OAM68" s="148"/>
      <c r="OAN68"/>
      <c r="OAO68" s="140"/>
      <c r="OAP68" s="149"/>
      <c r="OAQ68"/>
      <c r="OAR68" s="142"/>
      <c r="OAS68" s="143"/>
      <c r="OAT68" s="144"/>
      <c r="OAU68" s="144"/>
      <c r="OAV68" s="143"/>
      <c r="OAW68" s="145"/>
      <c r="OAX68" s="143"/>
      <c r="OAY68" s="145"/>
      <c r="OAZ68" s="146"/>
      <c r="OBA68" s="147"/>
      <c r="OBB68"/>
      <c r="OBC68" s="148"/>
      <c r="OBD68"/>
      <c r="OBE68" s="140"/>
      <c r="OBF68" s="149"/>
      <c r="OBG68"/>
      <c r="OBH68" s="142"/>
      <c r="OBI68" s="143"/>
      <c r="OBJ68" s="144"/>
      <c r="OBK68" s="144"/>
      <c r="OBL68" s="143"/>
      <c r="OBM68" s="145"/>
      <c r="OBN68" s="143"/>
      <c r="OBO68" s="145"/>
      <c r="OBP68" s="146"/>
      <c r="OBQ68" s="147"/>
      <c r="OBR68"/>
      <c r="OBS68" s="148"/>
      <c r="OBT68"/>
      <c r="OBU68" s="140"/>
      <c r="OBV68" s="149"/>
      <c r="OBW68"/>
      <c r="OBX68" s="142"/>
      <c r="OBY68" s="143"/>
      <c r="OBZ68" s="144"/>
      <c r="OCA68" s="144"/>
      <c r="OCB68" s="143"/>
      <c r="OCC68" s="145"/>
      <c r="OCD68" s="143"/>
      <c r="OCE68" s="145"/>
      <c r="OCF68" s="146"/>
      <c r="OCG68" s="147"/>
      <c r="OCH68"/>
      <c r="OCI68" s="148"/>
      <c r="OCJ68"/>
      <c r="OCK68" s="140"/>
      <c r="OCL68" s="149"/>
      <c r="OCM68"/>
      <c r="OCN68" s="142"/>
      <c r="OCO68" s="143"/>
      <c r="OCP68" s="144"/>
      <c r="OCQ68" s="144"/>
      <c r="OCR68" s="143"/>
      <c r="OCS68" s="145"/>
      <c r="OCT68" s="143"/>
      <c r="OCU68" s="145"/>
      <c r="OCV68" s="146"/>
      <c r="OCW68" s="147"/>
      <c r="OCX68"/>
      <c r="OCY68" s="148"/>
      <c r="OCZ68"/>
      <c r="ODA68" s="140"/>
      <c r="ODB68" s="149"/>
      <c r="ODC68"/>
      <c r="ODD68" s="142"/>
      <c r="ODE68" s="143"/>
      <c r="ODF68" s="144"/>
      <c r="ODG68" s="144"/>
      <c r="ODH68" s="143"/>
      <c r="ODI68" s="145"/>
      <c r="ODJ68" s="143"/>
      <c r="ODK68" s="145"/>
      <c r="ODL68" s="146"/>
      <c r="ODM68" s="147"/>
      <c r="ODN68"/>
      <c r="ODO68" s="148"/>
      <c r="ODP68"/>
      <c r="ODQ68" s="140"/>
      <c r="ODR68" s="149"/>
      <c r="ODS68"/>
      <c r="ODT68" s="142"/>
      <c r="ODU68" s="143"/>
      <c r="ODV68" s="144"/>
      <c r="ODW68" s="144"/>
      <c r="ODX68" s="143"/>
      <c r="ODY68" s="145"/>
      <c r="ODZ68" s="143"/>
      <c r="OEA68" s="145"/>
      <c r="OEB68" s="146"/>
      <c r="OEC68" s="147"/>
      <c r="OED68"/>
      <c r="OEE68" s="148"/>
      <c r="OEF68"/>
      <c r="OEG68" s="140"/>
      <c r="OEH68" s="149"/>
      <c r="OEI68"/>
      <c r="OEJ68" s="142"/>
      <c r="OEK68" s="143"/>
      <c r="OEL68" s="144"/>
      <c r="OEM68" s="144"/>
      <c r="OEN68" s="143"/>
      <c r="OEO68" s="145"/>
      <c r="OEP68" s="143"/>
      <c r="OEQ68" s="145"/>
      <c r="OER68" s="146"/>
      <c r="OES68" s="147"/>
      <c r="OET68"/>
      <c r="OEU68" s="148"/>
      <c r="OEV68"/>
      <c r="OEW68" s="140"/>
      <c r="OEX68" s="149"/>
      <c r="OEY68"/>
      <c r="OEZ68" s="142"/>
      <c r="OFA68" s="143"/>
      <c r="OFB68" s="144"/>
      <c r="OFC68" s="144"/>
      <c r="OFD68" s="143"/>
      <c r="OFE68" s="145"/>
      <c r="OFF68" s="143"/>
      <c r="OFG68" s="145"/>
      <c r="OFH68" s="146"/>
      <c r="OFI68" s="147"/>
      <c r="OFJ68"/>
      <c r="OFK68" s="148"/>
      <c r="OFL68"/>
      <c r="OFM68" s="140"/>
      <c r="OFN68" s="149"/>
      <c r="OFO68"/>
      <c r="OFP68" s="142"/>
      <c r="OFQ68" s="143"/>
      <c r="OFR68" s="144"/>
      <c r="OFS68" s="144"/>
      <c r="OFT68" s="143"/>
      <c r="OFU68" s="145"/>
      <c r="OFV68" s="143"/>
      <c r="OFW68" s="145"/>
      <c r="OFX68" s="146"/>
      <c r="OFY68" s="147"/>
      <c r="OFZ68"/>
      <c r="OGA68" s="148"/>
      <c r="OGB68"/>
      <c r="OGC68" s="140"/>
      <c r="OGD68" s="149"/>
      <c r="OGE68"/>
      <c r="OGF68" s="142"/>
      <c r="OGG68" s="143"/>
      <c r="OGH68" s="144"/>
      <c r="OGI68" s="144"/>
      <c r="OGJ68" s="143"/>
      <c r="OGK68" s="145"/>
      <c r="OGL68" s="143"/>
      <c r="OGM68" s="145"/>
      <c r="OGN68" s="146"/>
      <c r="OGO68" s="147"/>
      <c r="OGP68"/>
      <c r="OGQ68" s="148"/>
      <c r="OGR68"/>
      <c r="OGS68" s="140"/>
      <c r="OGT68" s="149"/>
      <c r="OGU68"/>
      <c r="OGV68" s="142"/>
      <c r="OGW68" s="143"/>
      <c r="OGX68" s="144"/>
      <c r="OGY68" s="144"/>
      <c r="OGZ68" s="143"/>
      <c r="OHA68" s="145"/>
      <c r="OHB68" s="143"/>
      <c r="OHC68" s="145"/>
      <c r="OHD68" s="146"/>
      <c r="OHE68" s="147"/>
      <c r="OHF68"/>
      <c r="OHG68" s="148"/>
      <c r="OHH68"/>
      <c r="OHI68" s="140"/>
      <c r="OHJ68" s="149"/>
      <c r="OHK68"/>
      <c r="OHL68" s="142"/>
      <c r="OHM68" s="143"/>
      <c r="OHN68" s="144"/>
      <c r="OHO68" s="144"/>
      <c r="OHP68" s="143"/>
      <c r="OHQ68" s="145"/>
      <c r="OHR68" s="143"/>
      <c r="OHS68" s="145"/>
      <c r="OHT68" s="146"/>
      <c r="OHU68" s="147"/>
      <c r="OHV68"/>
      <c r="OHW68" s="148"/>
      <c r="OHX68"/>
      <c r="OHY68" s="140"/>
      <c r="OHZ68" s="149"/>
      <c r="OIA68"/>
      <c r="OIB68" s="142"/>
      <c r="OIC68" s="143"/>
      <c r="OID68" s="144"/>
      <c r="OIE68" s="144"/>
      <c r="OIF68" s="143"/>
      <c r="OIG68" s="145"/>
      <c r="OIH68" s="143"/>
      <c r="OII68" s="145"/>
      <c r="OIJ68" s="146"/>
      <c r="OIK68" s="147"/>
      <c r="OIL68"/>
      <c r="OIM68" s="148"/>
      <c r="OIN68"/>
      <c r="OIO68" s="140"/>
      <c r="OIP68" s="149"/>
      <c r="OIQ68"/>
      <c r="OIR68" s="142"/>
      <c r="OIS68" s="143"/>
      <c r="OIT68" s="144"/>
      <c r="OIU68" s="144"/>
      <c r="OIV68" s="143"/>
      <c r="OIW68" s="145"/>
      <c r="OIX68" s="143"/>
      <c r="OIY68" s="145"/>
      <c r="OIZ68" s="146"/>
      <c r="OJA68" s="147"/>
      <c r="OJB68"/>
      <c r="OJC68" s="148"/>
      <c r="OJD68"/>
      <c r="OJE68" s="140"/>
      <c r="OJF68" s="149"/>
      <c r="OJG68"/>
      <c r="OJH68" s="142"/>
      <c r="OJI68" s="143"/>
      <c r="OJJ68" s="144"/>
      <c r="OJK68" s="144"/>
      <c r="OJL68" s="143"/>
      <c r="OJM68" s="145"/>
      <c r="OJN68" s="143"/>
      <c r="OJO68" s="145"/>
      <c r="OJP68" s="146"/>
      <c r="OJQ68" s="147"/>
      <c r="OJR68"/>
      <c r="OJS68" s="148"/>
      <c r="OJT68"/>
      <c r="OJU68" s="140"/>
      <c r="OJV68" s="149"/>
      <c r="OJW68"/>
      <c r="OJX68" s="142"/>
      <c r="OJY68" s="143"/>
      <c r="OJZ68" s="144"/>
      <c r="OKA68" s="144"/>
      <c r="OKB68" s="143"/>
      <c r="OKC68" s="145"/>
      <c r="OKD68" s="143"/>
      <c r="OKE68" s="145"/>
      <c r="OKF68" s="146"/>
      <c r="OKG68" s="147"/>
      <c r="OKH68"/>
      <c r="OKI68" s="148"/>
      <c r="OKJ68"/>
      <c r="OKK68" s="140"/>
      <c r="OKL68" s="149"/>
      <c r="OKM68"/>
      <c r="OKN68" s="142"/>
      <c r="OKO68" s="143"/>
      <c r="OKP68" s="144"/>
      <c r="OKQ68" s="144"/>
      <c r="OKR68" s="143"/>
      <c r="OKS68" s="145"/>
      <c r="OKT68" s="143"/>
      <c r="OKU68" s="145"/>
      <c r="OKV68" s="146"/>
      <c r="OKW68" s="147"/>
      <c r="OKX68"/>
      <c r="OKY68" s="148"/>
      <c r="OKZ68"/>
      <c r="OLA68" s="140"/>
      <c r="OLB68" s="149"/>
      <c r="OLC68"/>
      <c r="OLD68" s="142"/>
      <c r="OLE68" s="143"/>
      <c r="OLF68" s="144"/>
      <c r="OLG68" s="144"/>
      <c r="OLH68" s="143"/>
      <c r="OLI68" s="145"/>
      <c r="OLJ68" s="143"/>
      <c r="OLK68" s="145"/>
      <c r="OLL68" s="146"/>
      <c r="OLM68" s="147"/>
      <c r="OLN68"/>
      <c r="OLO68" s="148"/>
      <c r="OLP68"/>
      <c r="OLQ68" s="140"/>
      <c r="OLR68" s="149"/>
      <c r="OLS68"/>
      <c r="OLT68" s="142"/>
      <c r="OLU68" s="143"/>
      <c r="OLV68" s="144"/>
      <c r="OLW68" s="144"/>
      <c r="OLX68" s="143"/>
      <c r="OLY68" s="145"/>
      <c r="OLZ68" s="143"/>
      <c r="OMA68" s="145"/>
      <c r="OMB68" s="146"/>
      <c r="OMC68" s="147"/>
      <c r="OMD68"/>
      <c r="OME68" s="148"/>
      <c r="OMF68"/>
      <c r="OMG68" s="140"/>
      <c r="OMH68" s="149"/>
      <c r="OMI68"/>
      <c r="OMJ68" s="142"/>
      <c r="OMK68" s="143"/>
      <c r="OML68" s="144"/>
      <c r="OMM68" s="144"/>
      <c r="OMN68" s="143"/>
      <c r="OMO68" s="145"/>
      <c r="OMP68" s="143"/>
      <c r="OMQ68" s="145"/>
      <c r="OMR68" s="146"/>
      <c r="OMS68" s="147"/>
      <c r="OMT68"/>
      <c r="OMU68" s="148"/>
      <c r="OMV68"/>
      <c r="OMW68" s="140"/>
      <c r="OMX68" s="149"/>
      <c r="OMY68"/>
      <c r="OMZ68" s="142"/>
      <c r="ONA68" s="143"/>
      <c r="ONB68" s="144"/>
      <c r="ONC68" s="144"/>
      <c r="OND68" s="143"/>
      <c r="ONE68" s="145"/>
      <c r="ONF68" s="143"/>
      <c r="ONG68" s="145"/>
      <c r="ONH68" s="146"/>
      <c r="ONI68" s="147"/>
      <c r="ONJ68"/>
      <c r="ONK68" s="148"/>
      <c r="ONL68"/>
      <c r="ONM68" s="140"/>
      <c r="ONN68" s="149"/>
      <c r="ONO68"/>
      <c r="ONP68" s="142"/>
      <c r="ONQ68" s="143"/>
      <c r="ONR68" s="144"/>
      <c r="ONS68" s="144"/>
      <c r="ONT68" s="143"/>
      <c r="ONU68" s="145"/>
      <c r="ONV68" s="143"/>
      <c r="ONW68" s="145"/>
      <c r="ONX68" s="146"/>
      <c r="ONY68" s="147"/>
      <c r="ONZ68"/>
      <c r="OOA68" s="148"/>
      <c r="OOB68"/>
      <c r="OOC68" s="140"/>
      <c r="OOD68" s="149"/>
      <c r="OOE68"/>
      <c r="OOF68" s="142"/>
      <c r="OOG68" s="143"/>
      <c r="OOH68" s="144"/>
      <c r="OOI68" s="144"/>
      <c r="OOJ68" s="143"/>
      <c r="OOK68" s="145"/>
      <c r="OOL68" s="143"/>
      <c r="OOM68" s="145"/>
      <c r="OON68" s="146"/>
      <c r="OOO68" s="147"/>
      <c r="OOP68"/>
      <c r="OOQ68" s="148"/>
      <c r="OOR68"/>
      <c r="OOS68" s="140"/>
      <c r="OOT68" s="149"/>
      <c r="OOU68"/>
      <c r="OOV68" s="142"/>
      <c r="OOW68" s="143"/>
      <c r="OOX68" s="144"/>
      <c r="OOY68" s="144"/>
      <c r="OOZ68" s="143"/>
      <c r="OPA68" s="145"/>
      <c r="OPB68" s="143"/>
      <c r="OPC68" s="145"/>
      <c r="OPD68" s="146"/>
      <c r="OPE68" s="147"/>
      <c r="OPF68"/>
      <c r="OPG68" s="148"/>
      <c r="OPH68"/>
      <c r="OPI68" s="140"/>
      <c r="OPJ68" s="149"/>
      <c r="OPK68"/>
      <c r="OPL68" s="142"/>
      <c r="OPM68" s="143"/>
      <c r="OPN68" s="144"/>
      <c r="OPO68" s="144"/>
      <c r="OPP68" s="143"/>
      <c r="OPQ68" s="145"/>
      <c r="OPR68" s="143"/>
      <c r="OPS68" s="145"/>
      <c r="OPT68" s="146"/>
      <c r="OPU68" s="147"/>
      <c r="OPV68"/>
      <c r="OPW68" s="148"/>
      <c r="OPX68"/>
      <c r="OPY68" s="140"/>
      <c r="OPZ68" s="149"/>
      <c r="OQA68"/>
      <c r="OQB68" s="142"/>
      <c r="OQC68" s="143"/>
      <c r="OQD68" s="144"/>
      <c r="OQE68" s="144"/>
      <c r="OQF68" s="143"/>
      <c r="OQG68" s="145"/>
      <c r="OQH68" s="143"/>
      <c r="OQI68" s="145"/>
      <c r="OQJ68" s="146"/>
      <c r="OQK68" s="147"/>
      <c r="OQL68"/>
      <c r="OQM68" s="148"/>
      <c r="OQN68"/>
      <c r="OQO68" s="140"/>
      <c r="OQP68" s="149"/>
      <c r="OQQ68"/>
      <c r="OQR68" s="142"/>
      <c r="OQS68" s="143"/>
      <c r="OQT68" s="144"/>
      <c r="OQU68" s="144"/>
      <c r="OQV68" s="143"/>
      <c r="OQW68" s="145"/>
      <c r="OQX68" s="143"/>
      <c r="OQY68" s="145"/>
      <c r="OQZ68" s="146"/>
      <c r="ORA68" s="147"/>
      <c r="ORB68"/>
      <c r="ORC68" s="148"/>
      <c r="ORD68"/>
      <c r="ORE68" s="140"/>
      <c r="ORF68" s="149"/>
      <c r="ORG68"/>
      <c r="ORH68" s="142"/>
      <c r="ORI68" s="143"/>
      <c r="ORJ68" s="144"/>
      <c r="ORK68" s="144"/>
      <c r="ORL68" s="143"/>
      <c r="ORM68" s="145"/>
      <c r="ORN68" s="143"/>
      <c r="ORO68" s="145"/>
      <c r="ORP68" s="146"/>
      <c r="ORQ68" s="147"/>
      <c r="ORR68"/>
      <c r="ORS68" s="148"/>
      <c r="ORT68"/>
      <c r="ORU68" s="140"/>
      <c r="ORV68" s="149"/>
      <c r="ORW68"/>
      <c r="ORX68" s="142"/>
      <c r="ORY68" s="143"/>
      <c r="ORZ68" s="144"/>
      <c r="OSA68" s="144"/>
      <c r="OSB68" s="143"/>
      <c r="OSC68" s="145"/>
      <c r="OSD68" s="143"/>
      <c r="OSE68" s="145"/>
      <c r="OSF68" s="146"/>
      <c r="OSG68" s="147"/>
      <c r="OSH68"/>
      <c r="OSI68" s="148"/>
      <c r="OSJ68"/>
      <c r="OSK68" s="140"/>
      <c r="OSL68" s="149"/>
      <c r="OSM68"/>
      <c r="OSN68" s="142"/>
      <c r="OSO68" s="143"/>
      <c r="OSP68" s="144"/>
      <c r="OSQ68" s="144"/>
      <c r="OSR68" s="143"/>
      <c r="OSS68" s="145"/>
      <c r="OST68" s="143"/>
      <c r="OSU68" s="145"/>
      <c r="OSV68" s="146"/>
      <c r="OSW68" s="147"/>
      <c r="OSX68"/>
      <c r="OSY68" s="148"/>
      <c r="OSZ68"/>
      <c r="OTA68" s="140"/>
      <c r="OTB68" s="149"/>
      <c r="OTC68"/>
      <c r="OTD68" s="142"/>
      <c r="OTE68" s="143"/>
      <c r="OTF68" s="144"/>
      <c r="OTG68" s="144"/>
      <c r="OTH68" s="143"/>
      <c r="OTI68" s="145"/>
      <c r="OTJ68" s="143"/>
      <c r="OTK68" s="145"/>
      <c r="OTL68" s="146"/>
      <c r="OTM68" s="147"/>
      <c r="OTN68"/>
      <c r="OTO68" s="148"/>
      <c r="OTP68"/>
      <c r="OTQ68" s="140"/>
      <c r="OTR68" s="149"/>
      <c r="OTS68"/>
      <c r="OTT68" s="142"/>
      <c r="OTU68" s="143"/>
      <c r="OTV68" s="144"/>
      <c r="OTW68" s="144"/>
      <c r="OTX68" s="143"/>
      <c r="OTY68" s="145"/>
      <c r="OTZ68" s="143"/>
      <c r="OUA68" s="145"/>
      <c r="OUB68" s="146"/>
      <c r="OUC68" s="147"/>
      <c r="OUD68"/>
      <c r="OUE68" s="148"/>
      <c r="OUF68"/>
      <c r="OUG68" s="140"/>
      <c r="OUH68" s="149"/>
      <c r="OUI68"/>
      <c r="OUJ68" s="142"/>
      <c r="OUK68" s="143"/>
      <c r="OUL68" s="144"/>
      <c r="OUM68" s="144"/>
      <c r="OUN68" s="143"/>
      <c r="OUO68" s="145"/>
      <c r="OUP68" s="143"/>
      <c r="OUQ68" s="145"/>
      <c r="OUR68" s="146"/>
      <c r="OUS68" s="147"/>
      <c r="OUT68"/>
      <c r="OUU68" s="148"/>
      <c r="OUV68"/>
      <c r="OUW68" s="140"/>
      <c r="OUX68" s="149"/>
      <c r="OUY68"/>
      <c r="OUZ68" s="142"/>
      <c r="OVA68" s="143"/>
      <c r="OVB68" s="144"/>
      <c r="OVC68" s="144"/>
      <c r="OVD68" s="143"/>
      <c r="OVE68" s="145"/>
      <c r="OVF68" s="143"/>
      <c r="OVG68" s="145"/>
      <c r="OVH68" s="146"/>
      <c r="OVI68" s="147"/>
      <c r="OVJ68"/>
      <c r="OVK68" s="148"/>
      <c r="OVL68"/>
      <c r="OVM68" s="140"/>
      <c r="OVN68" s="149"/>
      <c r="OVO68"/>
      <c r="OVP68" s="142"/>
      <c r="OVQ68" s="143"/>
      <c r="OVR68" s="144"/>
      <c r="OVS68" s="144"/>
      <c r="OVT68" s="143"/>
      <c r="OVU68" s="145"/>
      <c r="OVV68" s="143"/>
      <c r="OVW68" s="145"/>
      <c r="OVX68" s="146"/>
      <c r="OVY68" s="147"/>
      <c r="OVZ68"/>
      <c r="OWA68" s="148"/>
      <c r="OWB68"/>
      <c r="OWC68" s="140"/>
      <c r="OWD68" s="149"/>
      <c r="OWE68"/>
      <c r="OWF68" s="142"/>
      <c r="OWG68" s="143"/>
      <c r="OWH68" s="144"/>
      <c r="OWI68" s="144"/>
      <c r="OWJ68" s="143"/>
      <c r="OWK68" s="145"/>
      <c r="OWL68" s="143"/>
      <c r="OWM68" s="145"/>
      <c r="OWN68" s="146"/>
      <c r="OWO68" s="147"/>
      <c r="OWP68"/>
      <c r="OWQ68" s="148"/>
      <c r="OWR68"/>
      <c r="OWS68" s="140"/>
      <c r="OWT68" s="149"/>
      <c r="OWU68"/>
      <c r="OWV68" s="142"/>
      <c r="OWW68" s="143"/>
      <c r="OWX68" s="144"/>
      <c r="OWY68" s="144"/>
      <c r="OWZ68" s="143"/>
      <c r="OXA68" s="145"/>
      <c r="OXB68" s="143"/>
      <c r="OXC68" s="145"/>
      <c r="OXD68" s="146"/>
      <c r="OXE68" s="147"/>
      <c r="OXF68"/>
      <c r="OXG68" s="148"/>
      <c r="OXH68"/>
      <c r="OXI68" s="140"/>
      <c r="OXJ68" s="149"/>
      <c r="OXK68"/>
      <c r="OXL68" s="142"/>
      <c r="OXM68" s="143"/>
      <c r="OXN68" s="144"/>
      <c r="OXO68" s="144"/>
      <c r="OXP68" s="143"/>
      <c r="OXQ68" s="145"/>
      <c r="OXR68" s="143"/>
      <c r="OXS68" s="145"/>
      <c r="OXT68" s="146"/>
      <c r="OXU68" s="147"/>
      <c r="OXV68"/>
      <c r="OXW68" s="148"/>
      <c r="OXX68"/>
      <c r="OXY68" s="140"/>
      <c r="OXZ68" s="149"/>
      <c r="OYA68"/>
      <c r="OYB68" s="142"/>
      <c r="OYC68" s="143"/>
      <c r="OYD68" s="144"/>
      <c r="OYE68" s="144"/>
      <c r="OYF68" s="143"/>
      <c r="OYG68" s="145"/>
      <c r="OYH68" s="143"/>
      <c r="OYI68" s="145"/>
      <c r="OYJ68" s="146"/>
      <c r="OYK68" s="147"/>
      <c r="OYL68"/>
      <c r="OYM68" s="148"/>
      <c r="OYN68"/>
      <c r="OYO68" s="140"/>
      <c r="OYP68" s="149"/>
      <c r="OYQ68"/>
      <c r="OYR68" s="142"/>
      <c r="OYS68" s="143"/>
      <c r="OYT68" s="144"/>
      <c r="OYU68" s="144"/>
      <c r="OYV68" s="143"/>
      <c r="OYW68" s="145"/>
      <c r="OYX68" s="143"/>
      <c r="OYY68" s="145"/>
      <c r="OYZ68" s="146"/>
      <c r="OZA68" s="147"/>
      <c r="OZB68"/>
      <c r="OZC68" s="148"/>
      <c r="OZD68"/>
      <c r="OZE68" s="140"/>
      <c r="OZF68" s="149"/>
      <c r="OZG68"/>
      <c r="OZH68" s="142"/>
      <c r="OZI68" s="143"/>
      <c r="OZJ68" s="144"/>
      <c r="OZK68" s="144"/>
      <c r="OZL68" s="143"/>
      <c r="OZM68" s="145"/>
      <c r="OZN68" s="143"/>
      <c r="OZO68" s="145"/>
      <c r="OZP68" s="146"/>
      <c r="OZQ68" s="147"/>
      <c r="OZR68"/>
      <c r="OZS68" s="148"/>
      <c r="OZT68"/>
      <c r="OZU68" s="140"/>
      <c r="OZV68" s="149"/>
      <c r="OZW68"/>
      <c r="OZX68" s="142"/>
      <c r="OZY68" s="143"/>
      <c r="OZZ68" s="144"/>
      <c r="PAA68" s="144"/>
      <c r="PAB68" s="143"/>
      <c r="PAC68" s="145"/>
      <c r="PAD68" s="143"/>
      <c r="PAE68" s="145"/>
      <c r="PAF68" s="146"/>
      <c r="PAG68" s="147"/>
      <c r="PAH68"/>
      <c r="PAI68" s="148"/>
      <c r="PAJ68"/>
      <c r="PAK68" s="140"/>
      <c r="PAL68" s="149"/>
      <c r="PAM68"/>
      <c r="PAN68" s="142"/>
      <c r="PAO68" s="143"/>
      <c r="PAP68" s="144"/>
      <c r="PAQ68" s="144"/>
      <c r="PAR68" s="143"/>
      <c r="PAS68" s="145"/>
      <c r="PAT68" s="143"/>
      <c r="PAU68" s="145"/>
      <c r="PAV68" s="146"/>
      <c r="PAW68" s="147"/>
      <c r="PAX68"/>
      <c r="PAY68" s="148"/>
      <c r="PAZ68"/>
      <c r="PBA68" s="140"/>
      <c r="PBB68" s="149"/>
      <c r="PBC68"/>
      <c r="PBD68" s="142"/>
      <c r="PBE68" s="143"/>
      <c r="PBF68" s="144"/>
      <c r="PBG68" s="144"/>
      <c r="PBH68" s="143"/>
      <c r="PBI68" s="145"/>
      <c r="PBJ68" s="143"/>
      <c r="PBK68" s="145"/>
      <c r="PBL68" s="146"/>
      <c r="PBM68" s="147"/>
      <c r="PBN68"/>
      <c r="PBO68" s="148"/>
      <c r="PBP68"/>
      <c r="PBQ68" s="140"/>
      <c r="PBR68" s="149"/>
      <c r="PBS68"/>
      <c r="PBT68" s="142"/>
      <c r="PBU68" s="143"/>
      <c r="PBV68" s="144"/>
      <c r="PBW68" s="144"/>
      <c r="PBX68" s="143"/>
      <c r="PBY68" s="145"/>
      <c r="PBZ68" s="143"/>
      <c r="PCA68" s="145"/>
      <c r="PCB68" s="146"/>
      <c r="PCC68" s="147"/>
      <c r="PCD68"/>
      <c r="PCE68" s="148"/>
      <c r="PCF68"/>
      <c r="PCG68" s="140"/>
      <c r="PCH68" s="149"/>
      <c r="PCI68"/>
      <c r="PCJ68" s="142"/>
      <c r="PCK68" s="143"/>
      <c r="PCL68" s="144"/>
      <c r="PCM68" s="144"/>
      <c r="PCN68" s="143"/>
      <c r="PCO68" s="145"/>
      <c r="PCP68" s="143"/>
      <c r="PCQ68" s="145"/>
      <c r="PCR68" s="146"/>
      <c r="PCS68" s="147"/>
      <c r="PCT68"/>
      <c r="PCU68" s="148"/>
      <c r="PCV68"/>
      <c r="PCW68" s="140"/>
      <c r="PCX68" s="149"/>
      <c r="PCY68"/>
      <c r="PCZ68" s="142"/>
      <c r="PDA68" s="143"/>
      <c r="PDB68" s="144"/>
      <c r="PDC68" s="144"/>
      <c r="PDD68" s="143"/>
      <c r="PDE68" s="145"/>
      <c r="PDF68" s="143"/>
      <c r="PDG68" s="145"/>
      <c r="PDH68" s="146"/>
      <c r="PDI68" s="147"/>
      <c r="PDJ68"/>
      <c r="PDK68" s="148"/>
      <c r="PDL68"/>
      <c r="PDM68" s="140"/>
      <c r="PDN68" s="149"/>
      <c r="PDO68"/>
      <c r="PDP68" s="142"/>
      <c r="PDQ68" s="143"/>
      <c r="PDR68" s="144"/>
      <c r="PDS68" s="144"/>
      <c r="PDT68" s="143"/>
      <c r="PDU68" s="145"/>
      <c r="PDV68" s="143"/>
      <c r="PDW68" s="145"/>
      <c r="PDX68" s="146"/>
      <c r="PDY68" s="147"/>
      <c r="PDZ68"/>
      <c r="PEA68" s="148"/>
      <c r="PEB68"/>
      <c r="PEC68" s="140"/>
      <c r="PED68" s="149"/>
      <c r="PEE68"/>
      <c r="PEF68" s="142"/>
      <c r="PEG68" s="143"/>
      <c r="PEH68" s="144"/>
      <c r="PEI68" s="144"/>
      <c r="PEJ68" s="143"/>
      <c r="PEK68" s="145"/>
      <c r="PEL68" s="143"/>
      <c r="PEM68" s="145"/>
      <c r="PEN68" s="146"/>
      <c r="PEO68" s="147"/>
      <c r="PEP68"/>
      <c r="PEQ68" s="148"/>
      <c r="PER68"/>
      <c r="PES68" s="140"/>
      <c r="PET68" s="149"/>
      <c r="PEU68"/>
      <c r="PEV68" s="142"/>
      <c r="PEW68" s="143"/>
      <c r="PEX68" s="144"/>
      <c r="PEY68" s="144"/>
      <c r="PEZ68" s="143"/>
      <c r="PFA68" s="145"/>
      <c r="PFB68" s="143"/>
      <c r="PFC68" s="145"/>
      <c r="PFD68" s="146"/>
      <c r="PFE68" s="147"/>
      <c r="PFF68"/>
      <c r="PFG68" s="148"/>
      <c r="PFH68"/>
      <c r="PFI68" s="140"/>
      <c r="PFJ68" s="149"/>
      <c r="PFK68"/>
      <c r="PFL68" s="142"/>
      <c r="PFM68" s="143"/>
      <c r="PFN68" s="144"/>
      <c r="PFO68" s="144"/>
      <c r="PFP68" s="143"/>
      <c r="PFQ68" s="145"/>
      <c r="PFR68" s="143"/>
      <c r="PFS68" s="145"/>
      <c r="PFT68" s="146"/>
      <c r="PFU68" s="147"/>
      <c r="PFV68"/>
      <c r="PFW68" s="148"/>
      <c r="PFX68"/>
      <c r="PFY68" s="140"/>
      <c r="PFZ68" s="149"/>
      <c r="PGA68"/>
      <c r="PGB68" s="142"/>
      <c r="PGC68" s="143"/>
      <c r="PGD68" s="144"/>
      <c r="PGE68" s="144"/>
      <c r="PGF68" s="143"/>
      <c r="PGG68" s="145"/>
      <c r="PGH68" s="143"/>
      <c r="PGI68" s="145"/>
      <c r="PGJ68" s="146"/>
      <c r="PGK68" s="147"/>
      <c r="PGL68"/>
      <c r="PGM68" s="148"/>
      <c r="PGN68"/>
      <c r="PGO68" s="140"/>
      <c r="PGP68" s="149"/>
      <c r="PGQ68"/>
      <c r="PGR68" s="142"/>
      <c r="PGS68" s="143"/>
      <c r="PGT68" s="144"/>
      <c r="PGU68" s="144"/>
      <c r="PGV68" s="143"/>
      <c r="PGW68" s="145"/>
      <c r="PGX68" s="143"/>
      <c r="PGY68" s="145"/>
      <c r="PGZ68" s="146"/>
      <c r="PHA68" s="147"/>
      <c r="PHB68"/>
      <c r="PHC68" s="148"/>
      <c r="PHD68"/>
      <c r="PHE68" s="140"/>
      <c r="PHF68" s="149"/>
      <c r="PHG68"/>
      <c r="PHH68" s="142"/>
      <c r="PHI68" s="143"/>
      <c r="PHJ68" s="144"/>
      <c r="PHK68" s="144"/>
      <c r="PHL68" s="143"/>
      <c r="PHM68" s="145"/>
      <c r="PHN68" s="143"/>
      <c r="PHO68" s="145"/>
      <c r="PHP68" s="146"/>
      <c r="PHQ68" s="147"/>
      <c r="PHR68"/>
      <c r="PHS68" s="148"/>
      <c r="PHT68"/>
      <c r="PHU68" s="140"/>
      <c r="PHV68" s="149"/>
      <c r="PHW68"/>
      <c r="PHX68" s="142"/>
      <c r="PHY68" s="143"/>
      <c r="PHZ68" s="144"/>
      <c r="PIA68" s="144"/>
      <c r="PIB68" s="143"/>
      <c r="PIC68" s="145"/>
      <c r="PID68" s="143"/>
      <c r="PIE68" s="145"/>
      <c r="PIF68" s="146"/>
      <c r="PIG68" s="147"/>
      <c r="PIH68"/>
      <c r="PII68" s="148"/>
      <c r="PIJ68"/>
      <c r="PIK68" s="140"/>
      <c r="PIL68" s="149"/>
      <c r="PIM68"/>
      <c r="PIN68" s="142"/>
      <c r="PIO68" s="143"/>
      <c r="PIP68" s="144"/>
      <c r="PIQ68" s="144"/>
      <c r="PIR68" s="143"/>
      <c r="PIS68" s="145"/>
      <c r="PIT68" s="143"/>
      <c r="PIU68" s="145"/>
      <c r="PIV68" s="146"/>
      <c r="PIW68" s="147"/>
      <c r="PIX68"/>
      <c r="PIY68" s="148"/>
      <c r="PIZ68"/>
      <c r="PJA68" s="140"/>
      <c r="PJB68" s="149"/>
      <c r="PJC68"/>
      <c r="PJD68" s="142"/>
      <c r="PJE68" s="143"/>
      <c r="PJF68" s="144"/>
      <c r="PJG68" s="144"/>
      <c r="PJH68" s="143"/>
      <c r="PJI68" s="145"/>
      <c r="PJJ68" s="143"/>
      <c r="PJK68" s="145"/>
      <c r="PJL68" s="146"/>
      <c r="PJM68" s="147"/>
      <c r="PJN68"/>
      <c r="PJO68" s="148"/>
      <c r="PJP68"/>
      <c r="PJQ68" s="140"/>
      <c r="PJR68" s="149"/>
      <c r="PJS68"/>
      <c r="PJT68" s="142"/>
      <c r="PJU68" s="143"/>
      <c r="PJV68" s="144"/>
      <c r="PJW68" s="144"/>
      <c r="PJX68" s="143"/>
      <c r="PJY68" s="145"/>
      <c r="PJZ68" s="143"/>
      <c r="PKA68" s="145"/>
      <c r="PKB68" s="146"/>
      <c r="PKC68" s="147"/>
      <c r="PKD68"/>
      <c r="PKE68" s="148"/>
      <c r="PKF68"/>
      <c r="PKG68" s="140"/>
      <c r="PKH68" s="149"/>
      <c r="PKI68"/>
      <c r="PKJ68" s="142"/>
      <c r="PKK68" s="143"/>
      <c r="PKL68" s="144"/>
      <c r="PKM68" s="144"/>
      <c r="PKN68" s="143"/>
      <c r="PKO68" s="145"/>
      <c r="PKP68" s="143"/>
      <c r="PKQ68" s="145"/>
      <c r="PKR68" s="146"/>
      <c r="PKS68" s="147"/>
      <c r="PKT68"/>
      <c r="PKU68" s="148"/>
      <c r="PKV68"/>
      <c r="PKW68" s="140"/>
      <c r="PKX68" s="149"/>
      <c r="PKY68"/>
      <c r="PKZ68" s="142"/>
      <c r="PLA68" s="143"/>
      <c r="PLB68" s="144"/>
      <c r="PLC68" s="144"/>
      <c r="PLD68" s="143"/>
      <c r="PLE68" s="145"/>
      <c r="PLF68" s="143"/>
      <c r="PLG68" s="145"/>
      <c r="PLH68" s="146"/>
      <c r="PLI68" s="147"/>
      <c r="PLJ68"/>
      <c r="PLK68" s="148"/>
      <c r="PLL68"/>
      <c r="PLM68" s="140"/>
      <c r="PLN68" s="149"/>
      <c r="PLO68"/>
      <c r="PLP68" s="142"/>
      <c r="PLQ68" s="143"/>
      <c r="PLR68" s="144"/>
      <c r="PLS68" s="144"/>
      <c r="PLT68" s="143"/>
      <c r="PLU68" s="145"/>
      <c r="PLV68" s="143"/>
      <c r="PLW68" s="145"/>
      <c r="PLX68" s="146"/>
      <c r="PLY68" s="147"/>
      <c r="PLZ68"/>
      <c r="PMA68" s="148"/>
      <c r="PMB68"/>
      <c r="PMC68" s="140"/>
      <c r="PMD68" s="149"/>
      <c r="PME68"/>
      <c r="PMF68" s="142"/>
      <c r="PMG68" s="143"/>
      <c r="PMH68" s="144"/>
      <c r="PMI68" s="144"/>
      <c r="PMJ68" s="143"/>
      <c r="PMK68" s="145"/>
      <c r="PML68" s="143"/>
      <c r="PMM68" s="145"/>
      <c r="PMN68" s="146"/>
      <c r="PMO68" s="147"/>
      <c r="PMP68"/>
      <c r="PMQ68" s="148"/>
      <c r="PMR68"/>
      <c r="PMS68" s="140"/>
      <c r="PMT68" s="149"/>
      <c r="PMU68"/>
      <c r="PMV68" s="142"/>
      <c r="PMW68" s="143"/>
      <c r="PMX68" s="144"/>
      <c r="PMY68" s="144"/>
      <c r="PMZ68" s="143"/>
      <c r="PNA68" s="145"/>
      <c r="PNB68" s="143"/>
      <c r="PNC68" s="145"/>
      <c r="PND68" s="146"/>
      <c r="PNE68" s="147"/>
      <c r="PNF68"/>
      <c r="PNG68" s="148"/>
      <c r="PNH68"/>
      <c r="PNI68" s="140"/>
      <c r="PNJ68" s="149"/>
      <c r="PNK68"/>
      <c r="PNL68" s="142"/>
      <c r="PNM68" s="143"/>
      <c r="PNN68" s="144"/>
      <c r="PNO68" s="144"/>
      <c r="PNP68" s="143"/>
      <c r="PNQ68" s="145"/>
      <c r="PNR68" s="143"/>
      <c r="PNS68" s="145"/>
      <c r="PNT68" s="146"/>
      <c r="PNU68" s="147"/>
      <c r="PNV68"/>
      <c r="PNW68" s="148"/>
      <c r="PNX68"/>
      <c r="PNY68" s="140"/>
      <c r="PNZ68" s="149"/>
      <c r="POA68"/>
      <c r="POB68" s="142"/>
      <c r="POC68" s="143"/>
      <c r="POD68" s="144"/>
      <c r="POE68" s="144"/>
      <c r="POF68" s="143"/>
      <c r="POG68" s="145"/>
      <c r="POH68" s="143"/>
      <c r="POI68" s="145"/>
      <c r="POJ68" s="146"/>
      <c r="POK68" s="147"/>
      <c r="POL68"/>
      <c r="POM68" s="148"/>
      <c r="PON68"/>
      <c r="POO68" s="140"/>
      <c r="POP68" s="149"/>
      <c r="POQ68"/>
      <c r="POR68" s="142"/>
      <c r="POS68" s="143"/>
      <c r="POT68" s="144"/>
      <c r="POU68" s="144"/>
      <c r="POV68" s="143"/>
      <c r="POW68" s="145"/>
      <c r="POX68" s="143"/>
      <c r="POY68" s="145"/>
      <c r="POZ68" s="146"/>
      <c r="PPA68" s="147"/>
      <c r="PPB68"/>
      <c r="PPC68" s="148"/>
      <c r="PPD68"/>
      <c r="PPE68" s="140"/>
      <c r="PPF68" s="149"/>
      <c r="PPG68"/>
      <c r="PPH68" s="142"/>
      <c r="PPI68" s="143"/>
      <c r="PPJ68" s="144"/>
      <c r="PPK68" s="144"/>
      <c r="PPL68" s="143"/>
      <c r="PPM68" s="145"/>
      <c r="PPN68" s="143"/>
      <c r="PPO68" s="145"/>
      <c r="PPP68" s="146"/>
      <c r="PPQ68" s="147"/>
      <c r="PPR68"/>
      <c r="PPS68" s="148"/>
      <c r="PPT68"/>
      <c r="PPU68" s="140"/>
      <c r="PPV68" s="149"/>
      <c r="PPW68"/>
      <c r="PPX68" s="142"/>
      <c r="PPY68" s="143"/>
      <c r="PPZ68" s="144"/>
      <c r="PQA68" s="144"/>
      <c r="PQB68" s="143"/>
      <c r="PQC68" s="145"/>
      <c r="PQD68" s="143"/>
      <c r="PQE68" s="145"/>
      <c r="PQF68" s="146"/>
      <c r="PQG68" s="147"/>
      <c r="PQH68"/>
      <c r="PQI68" s="148"/>
      <c r="PQJ68"/>
      <c r="PQK68" s="140"/>
      <c r="PQL68" s="149"/>
      <c r="PQM68"/>
      <c r="PQN68" s="142"/>
      <c r="PQO68" s="143"/>
      <c r="PQP68" s="144"/>
      <c r="PQQ68" s="144"/>
      <c r="PQR68" s="143"/>
      <c r="PQS68" s="145"/>
      <c r="PQT68" s="143"/>
      <c r="PQU68" s="145"/>
      <c r="PQV68" s="146"/>
      <c r="PQW68" s="147"/>
      <c r="PQX68"/>
      <c r="PQY68" s="148"/>
      <c r="PQZ68"/>
      <c r="PRA68" s="140"/>
      <c r="PRB68" s="149"/>
      <c r="PRC68"/>
      <c r="PRD68" s="142"/>
      <c r="PRE68" s="143"/>
      <c r="PRF68" s="144"/>
      <c r="PRG68" s="144"/>
      <c r="PRH68" s="143"/>
      <c r="PRI68" s="145"/>
      <c r="PRJ68" s="143"/>
      <c r="PRK68" s="145"/>
      <c r="PRL68" s="146"/>
      <c r="PRM68" s="147"/>
      <c r="PRN68"/>
      <c r="PRO68" s="148"/>
      <c r="PRP68"/>
      <c r="PRQ68" s="140"/>
      <c r="PRR68" s="149"/>
      <c r="PRS68"/>
      <c r="PRT68" s="142"/>
      <c r="PRU68" s="143"/>
      <c r="PRV68" s="144"/>
      <c r="PRW68" s="144"/>
      <c r="PRX68" s="143"/>
      <c r="PRY68" s="145"/>
      <c r="PRZ68" s="143"/>
      <c r="PSA68" s="145"/>
      <c r="PSB68" s="146"/>
      <c r="PSC68" s="147"/>
      <c r="PSD68"/>
      <c r="PSE68" s="148"/>
      <c r="PSF68"/>
      <c r="PSG68" s="140"/>
      <c r="PSH68" s="149"/>
      <c r="PSI68"/>
      <c r="PSJ68" s="142"/>
      <c r="PSK68" s="143"/>
      <c r="PSL68" s="144"/>
      <c r="PSM68" s="144"/>
      <c r="PSN68" s="143"/>
      <c r="PSO68" s="145"/>
      <c r="PSP68" s="143"/>
      <c r="PSQ68" s="145"/>
      <c r="PSR68" s="146"/>
      <c r="PSS68" s="147"/>
      <c r="PST68"/>
      <c r="PSU68" s="148"/>
      <c r="PSV68"/>
      <c r="PSW68" s="140"/>
      <c r="PSX68" s="149"/>
      <c r="PSY68"/>
      <c r="PSZ68" s="142"/>
      <c r="PTA68" s="143"/>
      <c r="PTB68" s="144"/>
      <c r="PTC68" s="144"/>
      <c r="PTD68" s="143"/>
      <c r="PTE68" s="145"/>
      <c r="PTF68" s="143"/>
      <c r="PTG68" s="145"/>
      <c r="PTH68" s="146"/>
      <c r="PTI68" s="147"/>
      <c r="PTJ68"/>
      <c r="PTK68" s="148"/>
      <c r="PTL68"/>
      <c r="PTM68" s="140"/>
      <c r="PTN68" s="149"/>
      <c r="PTO68"/>
      <c r="PTP68" s="142"/>
      <c r="PTQ68" s="143"/>
      <c r="PTR68" s="144"/>
      <c r="PTS68" s="144"/>
      <c r="PTT68" s="143"/>
      <c r="PTU68" s="145"/>
      <c r="PTV68" s="143"/>
      <c r="PTW68" s="145"/>
      <c r="PTX68" s="146"/>
      <c r="PTY68" s="147"/>
      <c r="PTZ68"/>
      <c r="PUA68" s="148"/>
      <c r="PUB68"/>
      <c r="PUC68" s="140"/>
      <c r="PUD68" s="149"/>
      <c r="PUE68"/>
      <c r="PUF68" s="142"/>
      <c r="PUG68" s="143"/>
      <c r="PUH68" s="144"/>
      <c r="PUI68" s="144"/>
      <c r="PUJ68" s="143"/>
      <c r="PUK68" s="145"/>
      <c r="PUL68" s="143"/>
      <c r="PUM68" s="145"/>
      <c r="PUN68" s="146"/>
      <c r="PUO68" s="147"/>
      <c r="PUP68"/>
      <c r="PUQ68" s="148"/>
      <c r="PUR68"/>
      <c r="PUS68" s="140"/>
      <c r="PUT68" s="149"/>
      <c r="PUU68"/>
      <c r="PUV68" s="142"/>
      <c r="PUW68" s="143"/>
      <c r="PUX68" s="144"/>
      <c r="PUY68" s="144"/>
      <c r="PUZ68" s="143"/>
      <c r="PVA68" s="145"/>
      <c r="PVB68" s="143"/>
      <c r="PVC68" s="145"/>
      <c r="PVD68" s="146"/>
      <c r="PVE68" s="147"/>
      <c r="PVF68"/>
      <c r="PVG68" s="148"/>
      <c r="PVH68"/>
      <c r="PVI68" s="140"/>
      <c r="PVJ68" s="149"/>
      <c r="PVK68"/>
      <c r="PVL68" s="142"/>
      <c r="PVM68" s="143"/>
      <c r="PVN68" s="144"/>
      <c r="PVO68" s="144"/>
      <c r="PVP68" s="143"/>
      <c r="PVQ68" s="145"/>
      <c r="PVR68" s="143"/>
      <c r="PVS68" s="145"/>
      <c r="PVT68" s="146"/>
      <c r="PVU68" s="147"/>
      <c r="PVV68"/>
      <c r="PVW68" s="148"/>
      <c r="PVX68"/>
      <c r="PVY68" s="140"/>
      <c r="PVZ68" s="149"/>
      <c r="PWA68"/>
      <c r="PWB68" s="142"/>
      <c r="PWC68" s="143"/>
      <c r="PWD68" s="144"/>
      <c r="PWE68" s="144"/>
      <c r="PWF68" s="143"/>
      <c r="PWG68" s="145"/>
      <c r="PWH68" s="143"/>
      <c r="PWI68" s="145"/>
      <c r="PWJ68" s="146"/>
      <c r="PWK68" s="147"/>
      <c r="PWL68"/>
      <c r="PWM68" s="148"/>
      <c r="PWN68"/>
      <c r="PWO68" s="140"/>
      <c r="PWP68" s="149"/>
      <c r="PWQ68"/>
      <c r="PWR68" s="142"/>
      <c r="PWS68" s="143"/>
      <c r="PWT68" s="144"/>
      <c r="PWU68" s="144"/>
      <c r="PWV68" s="143"/>
      <c r="PWW68" s="145"/>
      <c r="PWX68" s="143"/>
      <c r="PWY68" s="145"/>
      <c r="PWZ68" s="146"/>
      <c r="PXA68" s="147"/>
      <c r="PXB68"/>
      <c r="PXC68" s="148"/>
      <c r="PXD68"/>
      <c r="PXE68" s="140"/>
      <c r="PXF68" s="149"/>
      <c r="PXG68"/>
      <c r="PXH68" s="142"/>
      <c r="PXI68" s="143"/>
      <c r="PXJ68" s="144"/>
      <c r="PXK68" s="144"/>
      <c r="PXL68" s="143"/>
      <c r="PXM68" s="145"/>
      <c r="PXN68" s="143"/>
      <c r="PXO68" s="145"/>
      <c r="PXP68" s="146"/>
      <c r="PXQ68" s="147"/>
      <c r="PXR68"/>
      <c r="PXS68" s="148"/>
      <c r="PXT68"/>
      <c r="PXU68" s="140"/>
      <c r="PXV68" s="149"/>
      <c r="PXW68"/>
      <c r="PXX68" s="142"/>
      <c r="PXY68" s="143"/>
      <c r="PXZ68" s="144"/>
      <c r="PYA68" s="144"/>
      <c r="PYB68" s="143"/>
      <c r="PYC68" s="145"/>
      <c r="PYD68" s="143"/>
      <c r="PYE68" s="145"/>
      <c r="PYF68" s="146"/>
      <c r="PYG68" s="147"/>
      <c r="PYH68"/>
      <c r="PYI68" s="148"/>
      <c r="PYJ68"/>
      <c r="PYK68" s="140"/>
      <c r="PYL68" s="149"/>
      <c r="PYM68"/>
      <c r="PYN68" s="142"/>
      <c r="PYO68" s="143"/>
      <c r="PYP68" s="144"/>
      <c r="PYQ68" s="144"/>
      <c r="PYR68" s="143"/>
      <c r="PYS68" s="145"/>
      <c r="PYT68" s="143"/>
      <c r="PYU68" s="145"/>
      <c r="PYV68" s="146"/>
      <c r="PYW68" s="147"/>
      <c r="PYX68"/>
      <c r="PYY68" s="148"/>
      <c r="PYZ68"/>
      <c r="PZA68" s="140"/>
      <c r="PZB68" s="149"/>
      <c r="PZC68"/>
      <c r="PZD68" s="142"/>
      <c r="PZE68" s="143"/>
      <c r="PZF68" s="144"/>
      <c r="PZG68" s="144"/>
      <c r="PZH68" s="143"/>
      <c r="PZI68" s="145"/>
      <c r="PZJ68" s="143"/>
      <c r="PZK68" s="145"/>
      <c r="PZL68" s="146"/>
      <c r="PZM68" s="147"/>
      <c r="PZN68"/>
      <c r="PZO68" s="148"/>
      <c r="PZP68"/>
      <c r="PZQ68" s="140"/>
      <c r="PZR68" s="149"/>
      <c r="PZS68"/>
      <c r="PZT68" s="142"/>
      <c r="PZU68" s="143"/>
      <c r="PZV68" s="144"/>
      <c r="PZW68" s="144"/>
      <c r="PZX68" s="143"/>
      <c r="PZY68" s="145"/>
      <c r="PZZ68" s="143"/>
      <c r="QAA68" s="145"/>
      <c r="QAB68" s="146"/>
      <c r="QAC68" s="147"/>
      <c r="QAD68"/>
      <c r="QAE68" s="148"/>
      <c r="QAF68"/>
      <c r="QAG68" s="140"/>
      <c r="QAH68" s="149"/>
      <c r="QAI68"/>
      <c r="QAJ68" s="142"/>
      <c r="QAK68" s="143"/>
      <c r="QAL68" s="144"/>
      <c r="QAM68" s="144"/>
      <c r="QAN68" s="143"/>
      <c r="QAO68" s="145"/>
      <c r="QAP68" s="143"/>
      <c r="QAQ68" s="145"/>
      <c r="QAR68" s="146"/>
      <c r="QAS68" s="147"/>
      <c r="QAT68"/>
      <c r="QAU68" s="148"/>
      <c r="QAV68"/>
      <c r="QAW68" s="140"/>
      <c r="QAX68" s="149"/>
      <c r="QAY68"/>
      <c r="QAZ68" s="142"/>
      <c r="QBA68" s="143"/>
      <c r="QBB68" s="144"/>
      <c r="QBC68" s="144"/>
      <c r="QBD68" s="143"/>
      <c r="QBE68" s="145"/>
      <c r="QBF68" s="143"/>
      <c r="QBG68" s="145"/>
      <c r="QBH68" s="146"/>
      <c r="QBI68" s="147"/>
      <c r="QBJ68"/>
      <c r="QBK68" s="148"/>
      <c r="QBL68"/>
      <c r="QBM68" s="140"/>
      <c r="QBN68" s="149"/>
      <c r="QBO68"/>
      <c r="QBP68" s="142"/>
      <c r="QBQ68" s="143"/>
      <c r="QBR68" s="144"/>
      <c r="QBS68" s="144"/>
      <c r="QBT68" s="143"/>
      <c r="QBU68" s="145"/>
      <c r="QBV68" s="143"/>
      <c r="QBW68" s="145"/>
      <c r="QBX68" s="146"/>
      <c r="QBY68" s="147"/>
      <c r="QBZ68"/>
      <c r="QCA68" s="148"/>
      <c r="QCB68"/>
      <c r="QCC68" s="140"/>
      <c r="QCD68" s="149"/>
      <c r="QCE68"/>
      <c r="QCF68" s="142"/>
      <c r="QCG68" s="143"/>
      <c r="QCH68" s="144"/>
      <c r="QCI68" s="144"/>
      <c r="QCJ68" s="143"/>
      <c r="QCK68" s="145"/>
      <c r="QCL68" s="143"/>
      <c r="QCM68" s="145"/>
      <c r="QCN68" s="146"/>
      <c r="QCO68" s="147"/>
      <c r="QCP68"/>
      <c r="QCQ68" s="148"/>
      <c r="QCR68"/>
      <c r="QCS68" s="140"/>
      <c r="QCT68" s="149"/>
      <c r="QCU68"/>
      <c r="QCV68" s="142"/>
      <c r="QCW68" s="143"/>
      <c r="QCX68" s="144"/>
      <c r="QCY68" s="144"/>
      <c r="QCZ68" s="143"/>
      <c r="QDA68" s="145"/>
      <c r="QDB68" s="143"/>
      <c r="QDC68" s="145"/>
      <c r="QDD68" s="146"/>
      <c r="QDE68" s="147"/>
      <c r="QDF68"/>
      <c r="QDG68" s="148"/>
      <c r="QDH68"/>
      <c r="QDI68" s="140"/>
      <c r="QDJ68" s="149"/>
      <c r="QDK68"/>
      <c r="QDL68" s="142"/>
      <c r="QDM68" s="143"/>
      <c r="QDN68" s="144"/>
      <c r="QDO68" s="144"/>
      <c r="QDP68" s="143"/>
      <c r="QDQ68" s="145"/>
      <c r="QDR68" s="143"/>
      <c r="QDS68" s="145"/>
      <c r="QDT68" s="146"/>
      <c r="QDU68" s="147"/>
      <c r="QDV68"/>
      <c r="QDW68" s="148"/>
      <c r="QDX68"/>
      <c r="QDY68" s="140"/>
      <c r="QDZ68" s="149"/>
      <c r="QEA68"/>
      <c r="QEB68" s="142"/>
      <c r="QEC68" s="143"/>
      <c r="QED68" s="144"/>
      <c r="QEE68" s="144"/>
      <c r="QEF68" s="143"/>
      <c r="QEG68" s="145"/>
      <c r="QEH68" s="143"/>
      <c r="QEI68" s="145"/>
      <c r="QEJ68" s="146"/>
      <c r="QEK68" s="147"/>
      <c r="QEL68"/>
      <c r="QEM68" s="148"/>
      <c r="QEN68"/>
      <c r="QEO68" s="140"/>
      <c r="QEP68" s="149"/>
      <c r="QEQ68"/>
      <c r="QER68" s="142"/>
      <c r="QES68" s="143"/>
      <c r="QET68" s="144"/>
      <c r="QEU68" s="144"/>
      <c r="QEV68" s="143"/>
      <c r="QEW68" s="145"/>
      <c r="QEX68" s="143"/>
      <c r="QEY68" s="145"/>
      <c r="QEZ68" s="146"/>
      <c r="QFA68" s="147"/>
      <c r="QFB68"/>
      <c r="QFC68" s="148"/>
      <c r="QFD68"/>
      <c r="QFE68" s="140"/>
      <c r="QFF68" s="149"/>
      <c r="QFG68"/>
      <c r="QFH68" s="142"/>
      <c r="QFI68" s="143"/>
      <c r="QFJ68" s="144"/>
      <c r="QFK68" s="144"/>
      <c r="QFL68" s="143"/>
      <c r="QFM68" s="145"/>
      <c r="QFN68" s="143"/>
      <c r="QFO68" s="145"/>
      <c r="QFP68" s="146"/>
      <c r="QFQ68" s="147"/>
      <c r="QFR68"/>
      <c r="QFS68" s="148"/>
      <c r="QFT68"/>
      <c r="QFU68" s="140"/>
      <c r="QFV68" s="149"/>
      <c r="QFW68"/>
      <c r="QFX68" s="142"/>
      <c r="QFY68" s="143"/>
      <c r="QFZ68" s="144"/>
      <c r="QGA68" s="144"/>
      <c r="QGB68" s="143"/>
      <c r="QGC68" s="145"/>
      <c r="QGD68" s="143"/>
      <c r="QGE68" s="145"/>
      <c r="QGF68" s="146"/>
      <c r="QGG68" s="147"/>
      <c r="QGH68"/>
      <c r="QGI68" s="148"/>
      <c r="QGJ68"/>
      <c r="QGK68" s="140"/>
      <c r="QGL68" s="149"/>
      <c r="QGM68"/>
      <c r="QGN68" s="142"/>
      <c r="QGO68" s="143"/>
      <c r="QGP68" s="144"/>
      <c r="QGQ68" s="144"/>
      <c r="QGR68" s="143"/>
      <c r="QGS68" s="145"/>
      <c r="QGT68" s="143"/>
      <c r="QGU68" s="145"/>
      <c r="QGV68" s="146"/>
      <c r="QGW68" s="147"/>
      <c r="QGX68"/>
      <c r="QGY68" s="148"/>
      <c r="QGZ68"/>
      <c r="QHA68" s="140"/>
      <c r="QHB68" s="149"/>
      <c r="QHC68"/>
      <c r="QHD68" s="142"/>
      <c r="QHE68" s="143"/>
      <c r="QHF68" s="144"/>
      <c r="QHG68" s="144"/>
      <c r="QHH68" s="143"/>
      <c r="QHI68" s="145"/>
      <c r="QHJ68" s="143"/>
      <c r="QHK68" s="145"/>
      <c r="QHL68" s="146"/>
      <c r="QHM68" s="147"/>
      <c r="QHN68"/>
      <c r="QHO68" s="148"/>
      <c r="QHP68"/>
      <c r="QHQ68" s="140"/>
      <c r="QHR68" s="149"/>
      <c r="QHS68"/>
      <c r="QHT68" s="142"/>
      <c r="QHU68" s="143"/>
      <c r="QHV68" s="144"/>
      <c r="QHW68" s="144"/>
      <c r="QHX68" s="143"/>
      <c r="QHY68" s="145"/>
      <c r="QHZ68" s="143"/>
      <c r="QIA68" s="145"/>
      <c r="QIB68" s="146"/>
      <c r="QIC68" s="147"/>
      <c r="QID68"/>
      <c r="QIE68" s="148"/>
      <c r="QIF68"/>
      <c r="QIG68" s="140"/>
      <c r="QIH68" s="149"/>
      <c r="QII68"/>
      <c r="QIJ68" s="142"/>
      <c r="QIK68" s="143"/>
      <c r="QIL68" s="144"/>
      <c r="QIM68" s="144"/>
      <c r="QIN68" s="143"/>
      <c r="QIO68" s="145"/>
      <c r="QIP68" s="143"/>
      <c r="QIQ68" s="145"/>
      <c r="QIR68" s="146"/>
      <c r="QIS68" s="147"/>
      <c r="QIT68"/>
      <c r="QIU68" s="148"/>
      <c r="QIV68"/>
      <c r="QIW68" s="140"/>
      <c r="QIX68" s="149"/>
      <c r="QIY68"/>
      <c r="QIZ68" s="142"/>
      <c r="QJA68" s="143"/>
      <c r="QJB68" s="144"/>
      <c r="QJC68" s="144"/>
      <c r="QJD68" s="143"/>
      <c r="QJE68" s="145"/>
      <c r="QJF68" s="143"/>
      <c r="QJG68" s="145"/>
      <c r="QJH68" s="146"/>
      <c r="QJI68" s="147"/>
      <c r="QJJ68"/>
      <c r="QJK68" s="148"/>
      <c r="QJL68"/>
      <c r="QJM68" s="140"/>
      <c r="QJN68" s="149"/>
      <c r="QJO68"/>
      <c r="QJP68" s="142"/>
      <c r="QJQ68" s="143"/>
      <c r="QJR68" s="144"/>
      <c r="QJS68" s="144"/>
      <c r="QJT68" s="143"/>
      <c r="QJU68" s="145"/>
      <c r="QJV68" s="143"/>
      <c r="QJW68" s="145"/>
      <c r="QJX68" s="146"/>
      <c r="QJY68" s="147"/>
      <c r="QJZ68"/>
      <c r="QKA68" s="148"/>
      <c r="QKB68"/>
      <c r="QKC68" s="140"/>
      <c r="QKD68" s="149"/>
      <c r="QKE68"/>
      <c r="QKF68" s="142"/>
      <c r="QKG68" s="143"/>
      <c r="QKH68" s="144"/>
      <c r="QKI68" s="144"/>
      <c r="QKJ68" s="143"/>
      <c r="QKK68" s="145"/>
      <c r="QKL68" s="143"/>
      <c r="QKM68" s="145"/>
      <c r="QKN68" s="146"/>
      <c r="QKO68" s="147"/>
      <c r="QKP68"/>
      <c r="QKQ68" s="148"/>
      <c r="QKR68"/>
      <c r="QKS68" s="140"/>
      <c r="QKT68" s="149"/>
      <c r="QKU68"/>
      <c r="QKV68" s="142"/>
      <c r="QKW68" s="143"/>
      <c r="QKX68" s="144"/>
      <c r="QKY68" s="144"/>
      <c r="QKZ68" s="143"/>
      <c r="QLA68" s="145"/>
      <c r="QLB68" s="143"/>
      <c r="QLC68" s="145"/>
      <c r="QLD68" s="146"/>
      <c r="QLE68" s="147"/>
      <c r="QLF68"/>
      <c r="QLG68" s="148"/>
      <c r="QLH68"/>
      <c r="QLI68" s="140"/>
      <c r="QLJ68" s="149"/>
      <c r="QLK68"/>
      <c r="QLL68" s="142"/>
      <c r="QLM68" s="143"/>
      <c r="QLN68" s="144"/>
      <c r="QLO68" s="144"/>
      <c r="QLP68" s="143"/>
      <c r="QLQ68" s="145"/>
      <c r="QLR68" s="143"/>
      <c r="QLS68" s="145"/>
      <c r="QLT68" s="146"/>
      <c r="QLU68" s="147"/>
      <c r="QLV68"/>
      <c r="QLW68" s="148"/>
      <c r="QLX68"/>
      <c r="QLY68" s="140"/>
      <c r="QLZ68" s="149"/>
      <c r="QMA68"/>
      <c r="QMB68" s="142"/>
      <c r="QMC68" s="143"/>
      <c r="QMD68" s="144"/>
      <c r="QME68" s="144"/>
      <c r="QMF68" s="143"/>
      <c r="QMG68" s="145"/>
      <c r="QMH68" s="143"/>
      <c r="QMI68" s="145"/>
      <c r="QMJ68" s="146"/>
      <c r="QMK68" s="147"/>
      <c r="QML68"/>
      <c r="QMM68" s="148"/>
      <c r="QMN68"/>
      <c r="QMO68" s="140"/>
      <c r="QMP68" s="149"/>
      <c r="QMQ68"/>
      <c r="QMR68" s="142"/>
      <c r="QMS68" s="143"/>
      <c r="QMT68" s="144"/>
      <c r="QMU68" s="144"/>
      <c r="QMV68" s="143"/>
      <c r="QMW68" s="145"/>
      <c r="QMX68" s="143"/>
      <c r="QMY68" s="145"/>
      <c r="QMZ68" s="146"/>
      <c r="QNA68" s="147"/>
      <c r="QNB68"/>
      <c r="QNC68" s="148"/>
      <c r="QND68"/>
      <c r="QNE68" s="140"/>
      <c r="QNF68" s="149"/>
      <c r="QNG68"/>
      <c r="QNH68" s="142"/>
      <c r="QNI68" s="143"/>
      <c r="QNJ68" s="144"/>
      <c r="QNK68" s="144"/>
      <c r="QNL68" s="143"/>
      <c r="QNM68" s="145"/>
      <c r="QNN68" s="143"/>
      <c r="QNO68" s="145"/>
      <c r="QNP68" s="146"/>
      <c r="QNQ68" s="147"/>
      <c r="QNR68"/>
      <c r="QNS68" s="148"/>
      <c r="QNT68"/>
      <c r="QNU68" s="140"/>
      <c r="QNV68" s="149"/>
      <c r="QNW68"/>
      <c r="QNX68" s="142"/>
      <c r="QNY68" s="143"/>
      <c r="QNZ68" s="144"/>
      <c r="QOA68" s="144"/>
      <c r="QOB68" s="143"/>
      <c r="QOC68" s="145"/>
      <c r="QOD68" s="143"/>
      <c r="QOE68" s="145"/>
      <c r="QOF68" s="146"/>
      <c r="QOG68" s="147"/>
      <c r="QOH68"/>
      <c r="QOI68" s="148"/>
      <c r="QOJ68"/>
      <c r="QOK68" s="140"/>
      <c r="QOL68" s="149"/>
      <c r="QOM68"/>
      <c r="QON68" s="142"/>
      <c r="QOO68" s="143"/>
      <c r="QOP68" s="144"/>
      <c r="QOQ68" s="144"/>
      <c r="QOR68" s="143"/>
      <c r="QOS68" s="145"/>
      <c r="QOT68" s="143"/>
      <c r="QOU68" s="145"/>
      <c r="QOV68" s="146"/>
      <c r="QOW68" s="147"/>
      <c r="QOX68"/>
      <c r="QOY68" s="148"/>
      <c r="QOZ68"/>
      <c r="QPA68" s="140"/>
      <c r="QPB68" s="149"/>
      <c r="QPC68"/>
      <c r="QPD68" s="142"/>
      <c r="QPE68" s="143"/>
      <c r="QPF68" s="144"/>
      <c r="QPG68" s="144"/>
      <c r="QPH68" s="143"/>
      <c r="QPI68" s="145"/>
      <c r="QPJ68" s="143"/>
      <c r="QPK68" s="145"/>
      <c r="QPL68" s="146"/>
      <c r="QPM68" s="147"/>
      <c r="QPN68"/>
      <c r="QPO68" s="148"/>
      <c r="QPP68"/>
      <c r="QPQ68" s="140"/>
      <c r="QPR68" s="149"/>
      <c r="QPS68"/>
      <c r="QPT68" s="142"/>
      <c r="QPU68" s="143"/>
      <c r="QPV68" s="144"/>
      <c r="QPW68" s="144"/>
      <c r="QPX68" s="143"/>
      <c r="QPY68" s="145"/>
      <c r="QPZ68" s="143"/>
      <c r="QQA68" s="145"/>
      <c r="QQB68" s="146"/>
      <c r="QQC68" s="147"/>
      <c r="QQD68"/>
      <c r="QQE68" s="148"/>
      <c r="QQF68"/>
      <c r="QQG68" s="140"/>
      <c r="QQH68" s="149"/>
      <c r="QQI68"/>
      <c r="QQJ68" s="142"/>
      <c r="QQK68" s="143"/>
      <c r="QQL68" s="144"/>
      <c r="QQM68" s="144"/>
      <c r="QQN68" s="143"/>
      <c r="QQO68" s="145"/>
      <c r="QQP68" s="143"/>
      <c r="QQQ68" s="145"/>
      <c r="QQR68" s="146"/>
      <c r="QQS68" s="147"/>
      <c r="QQT68"/>
      <c r="QQU68" s="148"/>
      <c r="QQV68"/>
      <c r="QQW68" s="140"/>
      <c r="QQX68" s="149"/>
      <c r="QQY68"/>
      <c r="QQZ68" s="142"/>
      <c r="QRA68" s="143"/>
      <c r="QRB68" s="144"/>
      <c r="QRC68" s="144"/>
      <c r="QRD68" s="143"/>
      <c r="QRE68" s="145"/>
      <c r="QRF68" s="143"/>
      <c r="QRG68" s="145"/>
      <c r="QRH68" s="146"/>
      <c r="QRI68" s="147"/>
      <c r="QRJ68"/>
      <c r="QRK68" s="148"/>
      <c r="QRL68"/>
      <c r="QRM68" s="140"/>
      <c r="QRN68" s="149"/>
      <c r="QRO68"/>
      <c r="QRP68" s="142"/>
      <c r="QRQ68" s="143"/>
      <c r="QRR68" s="144"/>
      <c r="QRS68" s="144"/>
      <c r="QRT68" s="143"/>
      <c r="QRU68" s="145"/>
      <c r="QRV68" s="143"/>
      <c r="QRW68" s="145"/>
      <c r="QRX68" s="146"/>
      <c r="QRY68" s="147"/>
      <c r="QRZ68"/>
      <c r="QSA68" s="148"/>
      <c r="QSB68"/>
      <c r="QSC68" s="140"/>
      <c r="QSD68" s="149"/>
      <c r="QSE68"/>
      <c r="QSF68" s="142"/>
      <c r="QSG68" s="143"/>
      <c r="QSH68" s="144"/>
      <c r="QSI68" s="144"/>
      <c r="QSJ68" s="143"/>
      <c r="QSK68" s="145"/>
      <c r="QSL68" s="143"/>
      <c r="QSM68" s="145"/>
      <c r="QSN68" s="146"/>
      <c r="QSO68" s="147"/>
      <c r="QSP68"/>
      <c r="QSQ68" s="148"/>
      <c r="QSR68"/>
      <c r="QSS68" s="140"/>
      <c r="QST68" s="149"/>
      <c r="QSU68"/>
      <c r="QSV68" s="142"/>
      <c r="QSW68" s="143"/>
      <c r="QSX68" s="144"/>
      <c r="QSY68" s="144"/>
      <c r="QSZ68" s="143"/>
      <c r="QTA68" s="145"/>
      <c r="QTB68" s="143"/>
      <c r="QTC68" s="145"/>
      <c r="QTD68" s="146"/>
      <c r="QTE68" s="147"/>
      <c r="QTF68"/>
      <c r="QTG68" s="148"/>
      <c r="QTH68"/>
      <c r="QTI68" s="140"/>
      <c r="QTJ68" s="149"/>
      <c r="QTK68"/>
      <c r="QTL68" s="142"/>
      <c r="QTM68" s="143"/>
      <c r="QTN68" s="144"/>
      <c r="QTO68" s="144"/>
      <c r="QTP68" s="143"/>
      <c r="QTQ68" s="145"/>
      <c r="QTR68" s="143"/>
      <c r="QTS68" s="145"/>
      <c r="QTT68" s="146"/>
      <c r="QTU68" s="147"/>
      <c r="QTV68"/>
      <c r="QTW68" s="148"/>
      <c r="QTX68"/>
      <c r="QTY68" s="140"/>
      <c r="QTZ68" s="149"/>
      <c r="QUA68"/>
      <c r="QUB68" s="142"/>
      <c r="QUC68" s="143"/>
      <c r="QUD68" s="144"/>
      <c r="QUE68" s="144"/>
      <c r="QUF68" s="143"/>
      <c r="QUG68" s="145"/>
      <c r="QUH68" s="143"/>
      <c r="QUI68" s="145"/>
      <c r="QUJ68" s="146"/>
      <c r="QUK68" s="147"/>
      <c r="QUL68"/>
      <c r="QUM68" s="148"/>
      <c r="QUN68"/>
      <c r="QUO68" s="140"/>
      <c r="QUP68" s="149"/>
      <c r="QUQ68"/>
      <c r="QUR68" s="142"/>
      <c r="QUS68" s="143"/>
      <c r="QUT68" s="144"/>
      <c r="QUU68" s="144"/>
      <c r="QUV68" s="143"/>
      <c r="QUW68" s="145"/>
      <c r="QUX68" s="143"/>
      <c r="QUY68" s="145"/>
      <c r="QUZ68" s="146"/>
      <c r="QVA68" s="147"/>
      <c r="QVB68"/>
      <c r="QVC68" s="148"/>
      <c r="QVD68"/>
      <c r="QVE68" s="140"/>
      <c r="QVF68" s="149"/>
      <c r="QVG68"/>
      <c r="QVH68" s="142"/>
      <c r="QVI68" s="143"/>
      <c r="QVJ68" s="144"/>
      <c r="QVK68" s="144"/>
      <c r="QVL68" s="143"/>
      <c r="QVM68" s="145"/>
      <c r="QVN68" s="143"/>
      <c r="QVO68" s="145"/>
      <c r="QVP68" s="146"/>
      <c r="QVQ68" s="147"/>
      <c r="QVR68"/>
      <c r="QVS68" s="148"/>
      <c r="QVT68"/>
      <c r="QVU68" s="140"/>
      <c r="QVV68" s="149"/>
      <c r="QVW68"/>
      <c r="QVX68" s="142"/>
      <c r="QVY68" s="143"/>
      <c r="QVZ68" s="144"/>
      <c r="QWA68" s="144"/>
      <c r="QWB68" s="143"/>
      <c r="QWC68" s="145"/>
      <c r="QWD68" s="143"/>
      <c r="QWE68" s="145"/>
      <c r="QWF68" s="146"/>
      <c r="QWG68" s="147"/>
      <c r="QWH68"/>
      <c r="QWI68" s="148"/>
      <c r="QWJ68"/>
      <c r="QWK68" s="140"/>
      <c r="QWL68" s="149"/>
      <c r="QWM68"/>
      <c r="QWN68" s="142"/>
      <c r="QWO68" s="143"/>
      <c r="QWP68" s="144"/>
      <c r="QWQ68" s="144"/>
      <c r="QWR68" s="143"/>
      <c r="QWS68" s="145"/>
      <c r="QWT68" s="143"/>
      <c r="QWU68" s="145"/>
      <c r="QWV68" s="146"/>
      <c r="QWW68" s="147"/>
      <c r="QWX68"/>
      <c r="QWY68" s="148"/>
      <c r="QWZ68"/>
      <c r="QXA68" s="140"/>
      <c r="QXB68" s="149"/>
      <c r="QXC68"/>
      <c r="QXD68" s="142"/>
      <c r="QXE68" s="143"/>
      <c r="QXF68" s="144"/>
      <c r="QXG68" s="144"/>
      <c r="QXH68" s="143"/>
      <c r="QXI68" s="145"/>
      <c r="QXJ68" s="143"/>
      <c r="QXK68" s="145"/>
      <c r="QXL68" s="146"/>
      <c r="QXM68" s="147"/>
      <c r="QXN68"/>
      <c r="QXO68" s="148"/>
      <c r="QXP68"/>
      <c r="QXQ68" s="140"/>
      <c r="QXR68" s="149"/>
      <c r="QXS68"/>
      <c r="QXT68" s="142"/>
      <c r="QXU68" s="143"/>
      <c r="QXV68" s="144"/>
      <c r="QXW68" s="144"/>
      <c r="QXX68" s="143"/>
      <c r="QXY68" s="145"/>
      <c r="QXZ68" s="143"/>
      <c r="QYA68" s="145"/>
      <c r="QYB68" s="146"/>
      <c r="QYC68" s="147"/>
      <c r="QYD68"/>
      <c r="QYE68" s="148"/>
      <c r="QYF68"/>
      <c r="QYG68" s="140"/>
      <c r="QYH68" s="149"/>
      <c r="QYI68"/>
      <c r="QYJ68" s="142"/>
      <c r="QYK68" s="143"/>
      <c r="QYL68" s="144"/>
      <c r="QYM68" s="144"/>
      <c r="QYN68" s="143"/>
      <c r="QYO68" s="145"/>
      <c r="QYP68" s="143"/>
      <c r="QYQ68" s="145"/>
      <c r="QYR68" s="146"/>
      <c r="QYS68" s="147"/>
      <c r="QYT68"/>
      <c r="QYU68" s="148"/>
      <c r="QYV68"/>
      <c r="QYW68" s="140"/>
      <c r="QYX68" s="149"/>
      <c r="QYY68"/>
      <c r="QYZ68" s="142"/>
      <c r="QZA68" s="143"/>
      <c r="QZB68" s="144"/>
      <c r="QZC68" s="144"/>
      <c r="QZD68" s="143"/>
      <c r="QZE68" s="145"/>
      <c r="QZF68" s="143"/>
      <c r="QZG68" s="145"/>
      <c r="QZH68" s="146"/>
      <c r="QZI68" s="147"/>
      <c r="QZJ68"/>
      <c r="QZK68" s="148"/>
      <c r="QZL68"/>
      <c r="QZM68" s="140"/>
      <c r="QZN68" s="149"/>
      <c r="QZO68"/>
      <c r="QZP68" s="142"/>
      <c r="QZQ68" s="143"/>
      <c r="QZR68" s="144"/>
      <c r="QZS68" s="144"/>
      <c r="QZT68" s="143"/>
      <c r="QZU68" s="145"/>
      <c r="QZV68" s="143"/>
      <c r="QZW68" s="145"/>
      <c r="QZX68" s="146"/>
      <c r="QZY68" s="147"/>
      <c r="QZZ68"/>
      <c r="RAA68" s="148"/>
      <c r="RAB68"/>
      <c r="RAC68" s="140"/>
      <c r="RAD68" s="149"/>
      <c r="RAE68"/>
      <c r="RWX68" s="149"/>
      <c r="RWY68"/>
      <c r="RWZ68" s="142"/>
      <c r="RXA68" s="143"/>
      <c r="RXB68" s="144"/>
      <c r="RXC68" s="144"/>
      <c r="RXD68" s="143"/>
      <c r="RXE68" s="145"/>
      <c r="RXF68" s="143"/>
      <c r="RXG68" s="145"/>
      <c r="RXH68" s="146"/>
      <c r="RXI68" s="147"/>
      <c r="RXJ68"/>
      <c r="RXK68" s="148"/>
      <c r="RXL68"/>
      <c r="RXM68" s="140"/>
      <c r="RXN68" s="149"/>
      <c r="RXO68"/>
      <c r="RXP68" s="142"/>
      <c r="RXQ68" s="143"/>
      <c r="RXR68" s="144"/>
      <c r="RXS68" s="144"/>
      <c r="RXT68" s="143"/>
      <c r="RXU68" s="145"/>
      <c r="RXV68" s="143"/>
      <c r="RXW68" s="145"/>
      <c r="RXX68" s="146"/>
      <c r="RXY68" s="147"/>
      <c r="RXZ68"/>
      <c r="RYA68" s="148"/>
      <c r="RYB68"/>
      <c r="RYC68" s="140"/>
      <c r="RYD68" s="149"/>
      <c r="RYE68"/>
      <c r="RYF68" s="142"/>
      <c r="RYG68" s="143"/>
      <c r="RYH68" s="144"/>
      <c r="RYI68" s="144"/>
      <c r="RYJ68" s="143"/>
      <c r="RYK68" s="145"/>
      <c r="RYL68" s="143"/>
      <c r="RYM68" s="145"/>
      <c r="RYN68" s="146"/>
      <c r="RYO68" s="147"/>
      <c r="RYP68"/>
      <c r="RYQ68" s="148"/>
      <c r="RYR68"/>
      <c r="RYS68" s="140"/>
      <c r="RYT68" s="149"/>
      <c r="RYU68"/>
      <c r="RYV68" s="142"/>
      <c r="RYW68" s="143"/>
      <c r="RYX68" s="144"/>
      <c r="RYY68" s="144"/>
      <c r="RYZ68" s="143"/>
      <c r="RZA68" s="145"/>
      <c r="RZB68" s="143"/>
      <c r="RZC68" s="145"/>
      <c r="RZD68" s="146"/>
      <c r="RZE68" s="147"/>
      <c r="RZF68"/>
      <c r="RZG68" s="148"/>
      <c r="RZH68"/>
      <c r="RZI68" s="140"/>
      <c r="RZJ68" s="149"/>
      <c r="RZK68"/>
      <c r="RZL68" s="142"/>
      <c r="RZM68" s="143"/>
      <c r="RZN68" s="144"/>
      <c r="RZO68" s="144"/>
      <c r="RZP68" s="143"/>
      <c r="RZQ68" s="145"/>
      <c r="RZR68" s="143"/>
      <c r="RZS68" s="145"/>
      <c r="RZT68" s="146"/>
      <c r="RZU68" s="147"/>
      <c r="RZV68"/>
      <c r="RZW68" s="148"/>
      <c r="RZX68"/>
      <c r="RZY68" s="140"/>
      <c r="RZZ68" s="149"/>
      <c r="SAA68"/>
      <c r="SAB68" s="142"/>
      <c r="SAC68" s="143"/>
      <c r="SAD68" s="144"/>
      <c r="SAE68" s="144"/>
      <c r="SAF68" s="143"/>
      <c r="SAG68" s="145"/>
      <c r="SAH68" s="143"/>
      <c r="SAI68" s="145"/>
      <c r="SAJ68" s="146"/>
      <c r="SAK68" s="147"/>
      <c r="SAL68"/>
      <c r="SAM68" s="148"/>
      <c r="SAN68"/>
      <c r="SAO68" s="140"/>
      <c r="SAP68" s="149"/>
      <c r="SAQ68"/>
      <c r="SAR68" s="142"/>
      <c r="SAS68" s="143"/>
      <c r="SAT68" s="144"/>
      <c r="SAU68" s="144"/>
      <c r="SAV68" s="143"/>
      <c r="SAW68" s="145"/>
      <c r="SAX68" s="143"/>
      <c r="SAY68" s="145"/>
      <c r="SAZ68" s="146"/>
      <c r="SBA68" s="147"/>
      <c r="SBB68"/>
      <c r="SBC68" s="148"/>
      <c r="SBD68"/>
      <c r="SBE68" s="140"/>
      <c r="SBF68" s="149"/>
      <c r="SBG68"/>
      <c r="SBH68" s="142"/>
      <c r="SBI68" s="143"/>
      <c r="SBJ68" s="144"/>
      <c r="SBK68" s="144"/>
      <c r="SBL68" s="143"/>
      <c r="SBM68" s="145"/>
      <c r="SBN68" s="143"/>
      <c r="SBO68" s="145"/>
      <c r="SBP68" s="146"/>
      <c r="SBQ68" s="147"/>
      <c r="SBR68"/>
      <c r="SBS68" s="148"/>
      <c r="SBT68"/>
      <c r="SBU68" s="140"/>
      <c r="SBV68" s="149"/>
      <c r="SBW68"/>
      <c r="SBX68" s="142"/>
      <c r="SBY68" s="143"/>
      <c r="SBZ68" s="144"/>
      <c r="SCA68" s="144"/>
      <c r="SCB68" s="143"/>
      <c r="SCC68" s="145"/>
      <c r="SCD68" s="143"/>
      <c r="SCE68" s="145"/>
      <c r="SCF68" s="146"/>
      <c r="SCG68" s="147"/>
      <c r="SCH68"/>
      <c r="SCI68" s="148"/>
      <c r="SCJ68"/>
      <c r="SCK68" s="140"/>
      <c r="SCL68" s="149"/>
      <c r="SCM68"/>
      <c r="SCN68" s="142"/>
      <c r="SCO68" s="143"/>
      <c r="SCP68" s="144"/>
      <c r="SCQ68" s="144"/>
      <c r="SCR68" s="143"/>
      <c r="SCS68" s="145"/>
      <c r="SCT68" s="143"/>
      <c r="SCU68" s="145"/>
      <c r="SCV68" s="146"/>
      <c r="SCW68" s="147"/>
      <c r="SCX68"/>
      <c r="SCY68" s="148"/>
      <c r="SCZ68"/>
      <c r="SDA68" s="140"/>
      <c r="SDB68" s="149"/>
      <c r="SDC68"/>
      <c r="SDD68" s="142"/>
      <c r="SDE68" s="143"/>
      <c r="SDF68" s="144"/>
      <c r="SDG68" s="144"/>
      <c r="SDH68" s="143"/>
      <c r="SDI68" s="145"/>
      <c r="SDJ68" s="143"/>
      <c r="SDK68" s="145"/>
      <c r="SDL68" s="146"/>
      <c r="SDM68" s="147"/>
      <c r="SDN68"/>
      <c r="SDO68" s="148"/>
      <c r="SDP68"/>
      <c r="SDQ68" s="140"/>
      <c r="SDR68" s="149"/>
      <c r="SDS68"/>
      <c r="SDT68" s="142"/>
      <c r="SDU68" s="143"/>
      <c r="SDV68" s="144"/>
      <c r="SDW68" s="144"/>
      <c r="SDX68" s="143"/>
      <c r="SDY68" s="145"/>
      <c r="SDZ68" s="143"/>
      <c r="SEA68" s="145"/>
      <c r="SEB68" s="146"/>
      <c r="SEC68" s="147"/>
      <c r="SED68"/>
      <c r="SEE68" s="148"/>
      <c r="SEF68"/>
      <c r="SEG68" s="140"/>
      <c r="SEH68" s="149"/>
      <c r="SEI68"/>
      <c r="SEJ68" s="142"/>
      <c r="SEK68" s="143"/>
      <c r="SEL68" s="144"/>
      <c r="SEM68" s="144"/>
      <c r="SEN68" s="143"/>
      <c r="SEO68" s="145"/>
      <c r="SEP68" s="143"/>
      <c r="SEQ68" s="145"/>
      <c r="SER68" s="146"/>
      <c r="SES68" s="147"/>
      <c r="SET68"/>
      <c r="SEU68" s="148"/>
      <c r="SEV68"/>
      <c r="SEW68" s="140"/>
      <c r="SEX68" s="149"/>
      <c r="SEY68"/>
      <c r="SEZ68" s="142"/>
      <c r="SFA68" s="143"/>
      <c r="SFB68" s="144"/>
      <c r="SFC68" s="144"/>
      <c r="SFD68" s="143"/>
      <c r="SFE68" s="145"/>
      <c r="SFF68" s="143"/>
      <c r="SFG68" s="145"/>
      <c r="SFH68" s="146"/>
      <c r="SFI68" s="147"/>
      <c r="SFJ68"/>
      <c r="SFK68" s="148"/>
      <c r="SFL68"/>
      <c r="SFM68" s="140"/>
      <c r="SFN68" s="149"/>
      <c r="SFO68"/>
      <c r="SFP68" s="142"/>
      <c r="SFQ68" s="143"/>
      <c r="SFR68" s="144"/>
      <c r="SFS68" s="144"/>
      <c r="SFT68" s="143"/>
      <c r="SFU68" s="145"/>
      <c r="SFV68" s="143"/>
      <c r="SFW68" s="145"/>
      <c r="SFX68" s="146"/>
      <c r="SFY68" s="147"/>
      <c r="SFZ68"/>
      <c r="SGA68" s="148"/>
      <c r="SGB68"/>
      <c r="SGC68" s="140"/>
      <c r="SGD68" s="149"/>
      <c r="SGE68"/>
      <c r="SGF68" s="142"/>
      <c r="SGG68" s="143"/>
      <c r="SGH68" s="144"/>
      <c r="SGI68" s="144"/>
      <c r="SGJ68" s="143"/>
      <c r="SGK68" s="145"/>
      <c r="SGL68" s="143"/>
      <c r="SGM68" s="145"/>
      <c r="SGN68" s="146"/>
      <c r="SGO68" s="147"/>
      <c r="SGP68"/>
      <c r="SGQ68" s="148"/>
      <c r="SGR68"/>
      <c r="SGS68" s="140"/>
      <c r="SGT68" s="149"/>
      <c r="SGU68"/>
      <c r="SGV68" s="142"/>
      <c r="SGW68" s="143"/>
      <c r="SGX68" s="144"/>
      <c r="SGY68" s="144"/>
      <c r="SGZ68" s="143"/>
      <c r="SHA68" s="145"/>
      <c r="SHB68" s="143"/>
      <c r="SHC68" s="145"/>
      <c r="SHD68" s="146"/>
      <c r="SHE68" s="147"/>
      <c r="SHF68"/>
      <c r="SHG68" s="148"/>
      <c r="SHH68"/>
      <c r="SHI68" s="140"/>
      <c r="SHJ68" s="149"/>
      <c r="SHK68"/>
      <c r="SHL68" s="142"/>
      <c r="SHM68" s="143"/>
      <c r="SHN68" s="144"/>
      <c r="SHO68" s="144"/>
      <c r="SHP68" s="143"/>
      <c r="SHQ68" s="145"/>
      <c r="SHR68" s="143"/>
      <c r="SHS68" s="145"/>
      <c r="SHT68" s="146"/>
      <c r="SHU68" s="147"/>
      <c r="SHV68"/>
      <c r="SHW68" s="148"/>
      <c r="SHX68"/>
      <c r="SHY68" s="140"/>
      <c r="SHZ68" s="149"/>
      <c r="SIA68"/>
      <c r="SIB68" s="142"/>
      <c r="SIC68" s="143"/>
      <c r="SID68" s="144"/>
      <c r="SIE68" s="144"/>
      <c r="SIF68" s="143"/>
      <c r="SIG68" s="145"/>
      <c r="SIH68" s="143"/>
      <c r="SII68" s="145"/>
      <c r="SIJ68" s="146"/>
      <c r="SIK68" s="147"/>
      <c r="SIL68"/>
      <c r="SIM68" s="148"/>
      <c r="SIN68"/>
      <c r="SIO68" s="140"/>
      <c r="SIP68" s="149"/>
      <c r="SIQ68"/>
      <c r="SIR68" s="142"/>
      <c r="SIS68" s="143"/>
      <c r="SIT68" s="144"/>
      <c r="SIU68" s="144"/>
      <c r="SIV68" s="143"/>
      <c r="SIW68" s="145"/>
      <c r="SIX68" s="143"/>
      <c r="SIY68" s="145"/>
      <c r="SIZ68" s="146"/>
      <c r="SJA68" s="147"/>
      <c r="SJB68"/>
      <c r="SJC68" s="148"/>
      <c r="SJD68"/>
      <c r="SJE68" s="140"/>
      <c r="SJF68" s="149"/>
      <c r="SJG68"/>
      <c r="SJH68" s="142"/>
      <c r="SJI68" s="143"/>
      <c r="SJJ68" s="144"/>
      <c r="SJK68" s="144"/>
      <c r="SJL68" s="143"/>
      <c r="SJM68" s="145"/>
      <c r="SJN68" s="143"/>
      <c r="SJO68" s="145"/>
      <c r="SJP68" s="146"/>
      <c r="SJQ68" s="147"/>
      <c r="SJR68"/>
      <c r="SJS68" s="148"/>
      <c r="SJT68"/>
      <c r="SJU68" s="140"/>
      <c r="SJV68" s="149"/>
      <c r="SJW68"/>
      <c r="SJX68" s="142"/>
      <c r="SJY68" s="143"/>
      <c r="SJZ68" s="144"/>
      <c r="SKA68" s="144"/>
      <c r="SKB68" s="143"/>
      <c r="SKC68" s="145"/>
      <c r="SKD68" s="143"/>
      <c r="SKE68" s="145"/>
      <c r="SKF68" s="146"/>
      <c r="SKG68" s="147"/>
      <c r="SKH68"/>
      <c r="SKI68" s="148"/>
      <c r="SKJ68"/>
      <c r="SKK68" s="140"/>
      <c r="SKL68" s="149"/>
      <c r="SKM68"/>
      <c r="SKN68" s="142"/>
      <c r="SKO68" s="143"/>
      <c r="SKP68" s="144"/>
      <c r="SKQ68" s="144"/>
      <c r="SKR68" s="143"/>
      <c r="SKS68" s="145"/>
      <c r="SKT68" s="143"/>
      <c r="SKU68" s="145"/>
      <c r="SKV68" s="146"/>
      <c r="SKW68" s="147"/>
      <c r="SKX68"/>
      <c r="SKY68" s="148"/>
      <c r="SKZ68"/>
      <c r="SLA68" s="140"/>
      <c r="SLB68" s="149"/>
      <c r="SLC68"/>
      <c r="SLD68" s="142"/>
      <c r="SLE68" s="143"/>
      <c r="SLF68" s="144"/>
      <c r="SLG68" s="144"/>
      <c r="SLH68" s="143"/>
      <c r="SLI68" s="145"/>
      <c r="SLJ68" s="143"/>
      <c r="SLK68" s="145"/>
      <c r="SLL68" s="146"/>
      <c r="SLM68" s="147"/>
      <c r="SLN68"/>
      <c r="SLO68" s="148"/>
      <c r="SLP68"/>
      <c r="SLQ68" s="140"/>
      <c r="SLR68" s="149"/>
      <c r="SLS68"/>
      <c r="SLT68" s="142"/>
      <c r="SLU68" s="143"/>
      <c r="SLV68" s="144"/>
      <c r="SLW68" s="144"/>
      <c r="SLX68" s="143"/>
      <c r="SLY68" s="145"/>
      <c r="SLZ68" s="143"/>
      <c r="SMA68" s="145"/>
      <c r="SMB68" s="146"/>
      <c r="SMC68" s="147"/>
      <c r="SMD68"/>
      <c r="SME68" s="148"/>
      <c r="SMF68"/>
      <c r="SMG68" s="140"/>
      <c r="SMH68" s="149"/>
      <c r="SMI68"/>
      <c r="SMJ68" s="142"/>
      <c r="SMK68" s="143"/>
      <c r="SML68" s="144"/>
      <c r="SMM68" s="144"/>
      <c r="SMN68" s="143"/>
      <c r="SMO68" s="145"/>
      <c r="SMP68" s="143"/>
      <c r="SMQ68" s="145"/>
      <c r="SMR68" s="146"/>
      <c r="SMS68" s="147"/>
      <c r="SMT68"/>
      <c r="SMU68" s="148"/>
      <c r="SMV68"/>
      <c r="SMW68" s="140"/>
      <c r="SMX68" s="149"/>
      <c r="SMY68"/>
      <c r="SMZ68" s="142"/>
      <c r="SNA68" s="143"/>
      <c r="SNB68" s="144"/>
      <c r="SNC68" s="144"/>
      <c r="SND68" s="143"/>
      <c r="SNE68" s="145"/>
      <c r="SNF68" s="143"/>
      <c r="SNG68" s="145"/>
      <c r="SNH68" s="146"/>
      <c r="SNI68" s="147"/>
      <c r="SNJ68"/>
      <c r="SNK68" s="148"/>
      <c r="SNL68"/>
      <c r="SNM68" s="140"/>
      <c r="SNN68" s="149"/>
      <c r="SNO68"/>
      <c r="SNP68" s="142"/>
      <c r="SNQ68" s="143"/>
      <c r="SNR68" s="144"/>
      <c r="SNS68" s="144"/>
      <c r="SNT68" s="143"/>
      <c r="SNU68" s="145"/>
      <c r="SNV68" s="143"/>
      <c r="SNW68" s="145"/>
      <c r="SNX68" s="146"/>
      <c r="SNY68" s="147"/>
      <c r="SNZ68"/>
      <c r="SOA68" s="148"/>
      <c r="SOB68"/>
      <c r="SOC68" s="140"/>
      <c r="SOD68" s="149"/>
      <c r="SOE68"/>
      <c r="SOF68" s="142"/>
      <c r="SOG68" s="143"/>
      <c r="SOH68" s="144"/>
      <c r="SOI68" s="144"/>
      <c r="SOJ68" s="143"/>
      <c r="SOK68" s="145"/>
      <c r="SOL68" s="143"/>
      <c r="SOM68" s="145"/>
      <c r="SON68" s="146"/>
      <c r="SOO68" s="147"/>
      <c r="SOP68"/>
      <c r="SOQ68" s="148"/>
      <c r="SOR68"/>
      <c r="SOS68" s="140"/>
      <c r="SOT68" s="149"/>
      <c r="SOU68"/>
      <c r="SOV68" s="142"/>
      <c r="SOW68" s="143"/>
      <c r="SOX68" s="144"/>
      <c r="SOY68" s="144"/>
      <c r="SOZ68" s="143"/>
      <c r="SPA68" s="145"/>
      <c r="SPB68" s="143"/>
      <c r="SPC68" s="145"/>
      <c r="SPD68" s="146"/>
      <c r="SPE68" s="147"/>
      <c r="SPF68"/>
      <c r="SPG68" s="148"/>
      <c r="SPH68"/>
      <c r="SPI68" s="140"/>
      <c r="SPJ68" s="149"/>
      <c r="SPK68"/>
      <c r="SPL68" s="142"/>
      <c r="SPM68" s="143"/>
      <c r="SPN68" s="144"/>
      <c r="SPO68" s="144"/>
      <c r="SPP68" s="143"/>
      <c r="SPQ68" s="145"/>
      <c r="SPR68" s="143"/>
      <c r="SPS68" s="145"/>
      <c r="SPT68" s="146"/>
      <c r="SPU68" s="147"/>
      <c r="SPV68"/>
      <c r="SPW68" s="148"/>
      <c r="SPX68"/>
      <c r="SPY68" s="140"/>
      <c r="SPZ68" s="149"/>
      <c r="SQA68"/>
      <c r="SQB68" s="142"/>
      <c r="SQC68" s="143"/>
      <c r="SQD68" s="144"/>
      <c r="SQE68" s="144"/>
      <c r="SQF68" s="143"/>
      <c r="SQG68" s="145"/>
      <c r="SQH68" s="143"/>
      <c r="SQI68" s="145"/>
      <c r="SQJ68" s="146"/>
      <c r="SQK68" s="147"/>
      <c r="SQL68"/>
      <c r="SQM68" s="148"/>
      <c r="SQN68"/>
      <c r="SQO68" s="140"/>
      <c r="SQP68" s="149"/>
      <c r="SQQ68"/>
      <c r="SQR68" s="142"/>
      <c r="SQS68" s="143"/>
      <c r="SQT68" s="144"/>
      <c r="SQU68" s="144"/>
      <c r="SQV68" s="143"/>
      <c r="SQW68" s="145"/>
      <c r="SQX68" s="143"/>
      <c r="SQY68" s="145"/>
      <c r="SQZ68" s="146"/>
      <c r="SRA68" s="147"/>
      <c r="SRB68"/>
      <c r="SRC68" s="148"/>
      <c r="SRD68"/>
      <c r="SRE68" s="140"/>
      <c r="SRF68" s="149"/>
      <c r="SRG68"/>
      <c r="SRH68" s="142"/>
      <c r="SRI68" s="143"/>
      <c r="SRJ68" s="144"/>
      <c r="SRK68" s="144"/>
      <c r="SRL68" s="143"/>
      <c r="SRM68" s="145"/>
      <c r="SRN68" s="143"/>
      <c r="SRO68" s="145"/>
      <c r="SRP68" s="146"/>
      <c r="SRQ68" s="147"/>
      <c r="SRR68"/>
      <c r="SRS68" s="148"/>
      <c r="SRT68"/>
      <c r="SRU68" s="140"/>
      <c r="SRV68" s="149"/>
      <c r="SRW68"/>
      <c r="SRX68" s="142"/>
      <c r="SRY68" s="143"/>
      <c r="SRZ68" s="144"/>
      <c r="SSA68" s="144"/>
      <c r="SSB68" s="143"/>
      <c r="SSC68" s="145"/>
      <c r="SSD68" s="143"/>
      <c r="SSE68" s="145"/>
      <c r="SSF68" s="146"/>
      <c r="SSG68" s="147"/>
      <c r="SSH68"/>
      <c r="SSI68" s="148"/>
      <c r="SSJ68"/>
      <c r="SSK68" s="140"/>
      <c r="SSL68" s="149"/>
      <c r="SSM68"/>
      <c r="SSN68" s="142"/>
      <c r="SSO68" s="143"/>
      <c r="SSP68" s="144"/>
      <c r="SSQ68" s="144"/>
      <c r="SSR68" s="143"/>
      <c r="SSS68" s="145"/>
      <c r="SST68" s="143"/>
      <c r="SSU68" s="145"/>
      <c r="SSV68" s="146"/>
      <c r="SSW68" s="147"/>
      <c r="SSX68"/>
      <c r="SSY68" s="148"/>
      <c r="SSZ68"/>
      <c r="STA68" s="140"/>
      <c r="STB68" s="149"/>
      <c r="STC68"/>
      <c r="STD68" s="142"/>
      <c r="STE68" s="143"/>
      <c r="STF68" s="144"/>
      <c r="STG68" s="144"/>
      <c r="STH68" s="143"/>
      <c r="STI68" s="145"/>
      <c r="STJ68" s="143"/>
      <c r="STK68" s="145"/>
      <c r="STL68" s="146"/>
      <c r="STM68" s="147"/>
      <c r="STN68"/>
      <c r="STO68" s="148"/>
      <c r="STP68"/>
      <c r="STQ68" s="140"/>
      <c r="STR68" s="149"/>
      <c r="STS68"/>
      <c r="STT68" s="142"/>
      <c r="STU68" s="143"/>
      <c r="STV68" s="144"/>
      <c r="STW68" s="144"/>
      <c r="STX68" s="143"/>
      <c r="STY68" s="145"/>
      <c r="STZ68" s="143"/>
      <c r="SUA68" s="145"/>
      <c r="SUB68" s="146"/>
      <c r="SUC68" s="147"/>
      <c r="SUD68"/>
      <c r="SUE68" s="148"/>
      <c r="SUF68"/>
      <c r="SUG68" s="140"/>
      <c r="SUH68" s="149"/>
      <c r="SUI68"/>
      <c r="SUJ68" s="142"/>
      <c r="SUK68" s="143"/>
      <c r="SUL68" s="144"/>
      <c r="SUM68" s="144"/>
      <c r="SUN68" s="143"/>
      <c r="SUO68" s="145"/>
      <c r="SUP68" s="143"/>
      <c r="SUQ68" s="145"/>
      <c r="SUR68" s="146"/>
      <c r="SUS68" s="147"/>
      <c r="SUT68"/>
      <c r="SUU68" s="148"/>
      <c r="SUV68"/>
      <c r="SUW68" s="140"/>
      <c r="SUX68" s="149"/>
      <c r="SUY68"/>
      <c r="SUZ68" s="142"/>
      <c r="SVA68" s="143"/>
      <c r="SVB68" s="144"/>
      <c r="SVC68" s="144"/>
      <c r="SVD68" s="143"/>
      <c r="SVE68" s="145"/>
      <c r="SVF68" s="143"/>
      <c r="SVG68" s="145"/>
      <c r="SVH68" s="146"/>
      <c r="SVI68" s="147"/>
      <c r="SVJ68"/>
      <c r="SVK68" s="148"/>
      <c r="SVL68"/>
      <c r="SVM68" s="140"/>
      <c r="SVN68" s="149"/>
      <c r="SVO68"/>
      <c r="SVP68" s="142"/>
      <c r="SVQ68" s="143"/>
      <c r="SVR68" s="144"/>
      <c r="SVS68" s="144"/>
      <c r="SVT68" s="143"/>
      <c r="SVU68" s="145"/>
      <c r="SVV68" s="143"/>
      <c r="SVW68" s="145"/>
      <c r="SVX68" s="146"/>
      <c r="SVY68" s="147"/>
      <c r="SVZ68"/>
      <c r="SWA68" s="148"/>
      <c r="SWB68"/>
      <c r="SWC68" s="140"/>
      <c r="SWD68" s="149"/>
      <c r="SWE68"/>
      <c r="SWF68" s="142"/>
      <c r="SWG68" s="143"/>
      <c r="SWH68" s="144"/>
      <c r="SWI68" s="144"/>
      <c r="SWJ68" s="143"/>
      <c r="SWK68" s="145"/>
      <c r="SWL68" s="143"/>
      <c r="SWM68" s="145"/>
      <c r="SWN68" s="146"/>
      <c r="SWO68" s="147"/>
      <c r="SWP68"/>
      <c r="SWQ68" s="148"/>
      <c r="SWR68"/>
      <c r="SWS68" s="140"/>
      <c r="SWT68" s="149"/>
      <c r="SWU68"/>
      <c r="SWV68" s="142"/>
      <c r="SWW68" s="143"/>
      <c r="SWX68" s="144"/>
      <c r="SWY68" s="144"/>
      <c r="SWZ68" s="143"/>
      <c r="SXA68" s="145"/>
      <c r="SXB68" s="143"/>
      <c r="SXC68" s="145"/>
      <c r="SXD68" s="146"/>
      <c r="SXE68" s="147"/>
      <c r="SXF68"/>
      <c r="SXG68" s="148"/>
      <c r="SXH68"/>
      <c r="SXI68" s="140"/>
      <c r="SXJ68" s="149"/>
      <c r="SXK68"/>
      <c r="SXL68" s="142"/>
      <c r="SXM68" s="143"/>
      <c r="SXN68" s="144"/>
      <c r="SXO68" s="144"/>
      <c r="SXP68" s="143"/>
      <c r="SXQ68" s="145"/>
      <c r="SXR68" s="143"/>
      <c r="SXS68" s="145"/>
      <c r="SXT68" s="146"/>
      <c r="SXU68" s="147"/>
      <c r="SXV68"/>
      <c r="SXW68" s="148"/>
      <c r="SXX68"/>
      <c r="SXY68" s="140"/>
      <c r="SXZ68" s="149"/>
      <c r="SYA68"/>
      <c r="SYB68" s="142"/>
      <c r="SYC68" s="143"/>
      <c r="SYD68" s="144"/>
      <c r="SYE68" s="144"/>
      <c r="SYF68" s="143"/>
      <c r="SYG68" s="145"/>
      <c r="SYH68" s="143"/>
      <c r="SYI68" s="145"/>
      <c r="SYJ68" s="146"/>
      <c r="SYK68" s="147"/>
      <c r="SYL68"/>
      <c r="SYM68" s="148"/>
      <c r="SYN68"/>
      <c r="SYO68" s="140"/>
      <c r="SYP68" s="149"/>
      <c r="SYQ68"/>
      <c r="SYR68" s="142"/>
      <c r="SYS68" s="143"/>
      <c r="SYT68" s="144"/>
      <c r="SYU68" s="144"/>
      <c r="SYV68" s="143"/>
      <c r="SYW68" s="145"/>
      <c r="SYX68" s="143"/>
      <c r="SYY68" s="145"/>
      <c r="SYZ68" s="146"/>
      <c r="SZA68" s="147"/>
      <c r="SZB68"/>
      <c r="SZC68" s="148"/>
      <c r="SZD68"/>
      <c r="SZE68" s="140"/>
      <c r="SZF68" s="149"/>
      <c r="SZG68"/>
      <c r="SZH68" s="142"/>
      <c r="SZI68" s="143"/>
      <c r="SZJ68" s="144"/>
      <c r="SZK68" s="144"/>
      <c r="SZL68" s="143"/>
      <c r="SZM68" s="145"/>
      <c r="SZN68" s="143"/>
      <c r="SZO68" s="145"/>
      <c r="SZP68" s="146"/>
      <c r="SZQ68" s="147"/>
      <c r="SZR68"/>
      <c r="SZS68" s="148"/>
      <c r="SZT68"/>
      <c r="SZU68" s="140"/>
      <c r="SZV68" s="149"/>
      <c r="SZW68"/>
      <c r="SZX68" s="142"/>
      <c r="SZY68" s="143"/>
      <c r="SZZ68" s="144"/>
      <c r="TAA68" s="144"/>
      <c r="TAB68" s="143"/>
      <c r="TAC68" s="145"/>
      <c r="TAD68" s="143"/>
      <c r="TAE68" s="145"/>
      <c r="TAF68" s="146"/>
      <c r="TAG68" s="147"/>
      <c r="TAH68"/>
      <c r="TAI68" s="148"/>
      <c r="TAJ68"/>
      <c r="TAK68" s="140"/>
      <c r="TAL68" s="149"/>
      <c r="TAM68"/>
      <c r="TAN68" s="142"/>
      <c r="TAO68" s="143"/>
      <c r="TAP68" s="144"/>
      <c r="TAQ68" s="144"/>
      <c r="TAR68" s="143"/>
      <c r="TAS68" s="145"/>
      <c r="TAT68" s="143"/>
      <c r="TAU68" s="145"/>
      <c r="TAV68" s="146"/>
      <c r="TAW68" s="147"/>
      <c r="TAX68"/>
      <c r="TAY68" s="148"/>
      <c r="TAZ68"/>
      <c r="TBA68" s="140"/>
      <c r="TBB68" s="149"/>
      <c r="TBC68"/>
      <c r="TBD68" s="142"/>
      <c r="TBE68" s="143"/>
      <c r="TBF68" s="144"/>
      <c r="TBG68" s="144"/>
      <c r="TBH68" s="143"/>
      <c r="TBI68" s="145"/>
      <c r="TBJ68" s="143"/>
      <c r="TBK68" s="145"/>
      <c r="TBL68" s="146"/>
      <c r="TBM68" s="147"/>
      <c r="TBN68"/>
      <c r="TBO68" s="148"/>
      <c r="TBP68"/>
      <c r="TBQ68" s="140"/>
      <c r="TBR68" s="149"/>
      <c r="TBS68"/>
      <c r="TBT68" s="142"/>
      <c r="TBU68" s="143"/>
      <c r="TBV68" s="144"/>
      <c r="TBW68" s="144"/>
      <c r="TBX68" s="143"/>
      <c r="TBY68" s="145"/>
      <c r="TBZ68" s="143"/>
      <c r="TCA68" s="145"/>
      <c r="TCB68" s="146"/>
      <c r="TCC68" s="147"/>
      <c r="TCD68"/>
      <c r="TCE68" s="148"/>
      <c r="TCF68"/>
      <c r="TCG68" s="140"/>
      <c r="TCH68" s="149"/>
      <c r="TCI68"/>
      <c r="TCJ68" s="142"/>
      <c r="TCK68" s="143"/>
      <c r="TCL68" s="144"/>
      <c r="TCM68" s="144"/>
      <c r="TCN68" s="143"/>
      <c r="TCO68" s="145"/>
      <c r="TCP68" s="143"/>
      <c r="TCQ68" s="145"/>
      <c r="TCR68" s="146"/>
      <c r="TCS68" s="147"/>
      <c r="TCT68"/>
      <c r="TCU68" s="148"/>
      <c r="TCV68"/>
      <c r="TCW68" s="140"/>
      <c r="TCX68" s="149"/>
      <c r="TCY68"/>
      <c r="TCZ68" s="142"/>
      <c r="TDA68" s="143"/>
      <c r="TDB68" s="144"/>
      <c r="TDC68" s="144"/>
      <c r="TDD68" s="143"/>
      <c r="TDE68" s="145"/>
      <c r="TDF68" s="143"/>
      <c r="TDG68" s="145"/>
      <c r="TDH68" s="146"/>
      <c r="TDI68" s="147"/>
      <c r="TDJ68"/>
      <c r="TDK68" s="148"/>
      <c r="TDL68"/>
      <c r="TDM68" s="140"/>
      <c r="TDN68" s="149"/>
      <c r="TDO68"/>
      <c r="TDP68" s="142"/>
      <c r="TDQ68" s="143"/>
      <c r="TDR68" s="144"/>
      <c r="TDS68" s="144"/>
      <c r="TDT68" s="143"/>
      <c r="TDU68" s="145"/>
      <c r="TDV68" s="143"/>
      <c r="TDW68" s="145"/>
      <c r="TDX68" s="146"/>
      <c r="TDY68" s="147"/>
      <c r="TDZ68"/>
      <c r="TEA68" s="148"/>
      <c r="TEB68"/>
      <c r="TEC68" s="140"/>
      <c r="TED68" s="149"/>
      <c r="TEE68"/>
      <c r="TEF68" s="142"/>
      <c r="TEG68" s="143"/>
      <c r="TEH68" s="144"/>
      <c r="TEI68" s="144"/>
      <c r="TEJ68" s="143"/>
      <c r="TEK68" s="145"/>
      <c r="TEL68" s="143"/>
      <c r="TEM68" s="145"/>
      <c r="TEN68" s="146"/>
      <c r="TEO68" s="147"/>
      <c r="TEP68"/>
      <c r="TEQ68" s="148"/>
      <c r="TER68"/>
      <c r="TES68" s="140"/>
      <c r="TET68" s="149"/>
      <c r="TEU68"/>
      <c r="TEV68" s="142"/>
      <c r="TEW68" s="143"/>
      <c r="TEX68" s="144"/>
      <c r="TEY68" s="144"/>
      <c r="TEZ68" s="143"/>
      <c r="TFA68" s="145"/>
      <c r="TFB68" s="143"/>
      <c r="TFC68" s="145"/>
      <c r="TFD68" s="146"/>
      <c r="TFE68" s="147"/>
      <c r="TFF68"/>
      <c r="TFG68" s="148"/>
      <c r="TFH68"/>
      <c r="TFI68" s="140"/>
      <c r="TFJ68" s="149"/>
      <c r="TFK68"/>
      <c r="TFL68" s="142"/>
      <c r="TFM68" s="143"/>
      <c r="TFN68" s="144"/>
      <c r="TFO68" s="144"/>
      <c r="TFP68" s="143"/>
      <c r="TFQ68" s="145"/>
      <c r="TFR68" s="143"/>
      <c r="TFS68" s="145"/>
      <c r="TFT68" s="146"/>
      <c r="TFU68" s="147"/>
      <c r="TFV68"/>
      <c r="TFW68" s="148"/>
      <c r="TFX68"/>
      <c r="TFY68" s="140"/>
      <c r="TFZ68" s="149"/>
      <c r="TGA68"/>
      <c r="TGB68" s="142"/>
      <c r="TGC68" s="143"/>
      <c r="TGD68" s="144"/>
      <c r="TGE68" s="144"/>
      <c r="TGF68" s="143"/>
      <c r="TGG68" s="145"/>
      <c r="TGH68" s="143"/>
      <c r="TGI68" s="145"/>
      <c r="TGJ68" s="146"/>
      <c r="TGK68" s="147"/>
      <c r="TGL68"/>
      <c r="TGM68" s="148"/>
      <c r="TGN68"/>
      <c r="TGO68" s="140"/>
      <c r="TGP68" s="149"/>
      <c r="TGQ68"/>
      <c r="TGR68" s="142"/>
      <c r="TGS68" s="143"/>
      <c r="TGT68" s="144"/>
      <c r="TGU68" s="144"/>
      <c r="TGV68" s="143"/>
      <c r="TGW68" s="145"/>
      <c r="TGX68" s="143"/>
      <c r="TGY68" s="145"/>
      <c r="TGZ68" s="146"/>
      <c r="THA68" s="147"/>
      <c r="THB68"/>
      <c r="THC68" s="148"/>
      <c r="THD68"/>
      <c r="THE68" s="140"/>
      <c r="THF68" s="149"/>
      <c r="THG68"/>
      <c r="THH68" s="142"/>
      <c r="THI68" s="143"/>
      <c r="THJ68" s="144"/>
      <c r="THK68" s="144"/>
      <c r="THL68" s="143"/>
      <c r="THM68" s="145"/>
      <c r="THN68" s="143"/>
      <c r="THO68" s="145"/>
      <c r="THP68" s="146"/>
      <c r="THQ68" s="147"/>
      <c r="THR68"/>
      <c r="THS68" s="148"/>
      <c r="THT68"/>
      <c r="THU68" s="140"/>
      <c r="THV68" s="149"/>
      <c r="THW68"/>
      <c r="THX68" s="142"/>
      <c r="THY68" s="143"/>
      <c r="THZ68" s="144"/>
      <c r="TIA68" s="144"/>
      <c r="TIB68" s="143"/>
      <c r="TIC68" s="145"/>
      <c r="TID68" s="143"/>
      <c r="TIE68" s="145"/>
      <c r="TIF68" s="146"/>
      <c r="TIG68" s="147"/>
      <c r="TIH68"/>
      <c r="TII68" s="148"/>
      <c r="TIJ68"/>
      <c r="TIK68" s="140"/>
      <c r="TIL68" s="149"/>
      <c r="TIM68"/>
      <c r="TIN68" s="142"/>
      <c r="TIO68" s="143"/>
      <c r="TIP68" s="144"/>
      <c r="TIQ68" s="144"/>
      <c r="TIR68" s="143"/>
      <c r="TIS68" s="145"/>
      <c r="TIT68" s="143"/>
      <c r="TIU68" s="145"/>
      <c r="TIV68" s="146"/>
      <c r="TIW68" s="147"/>
      <c r="TIX68"/>
      <c r="TIY68" s="148"/>
      <c r="TIZ68"/>
      <c r="TJA68" s="140"/>
      <c r="TJB68" s="149"/>
      <c r="TJC68"/>
      <c r="TJD68" s="142"/>
      <c r="TJE68" s="143"/>
      <c r="TJF68" s="144"/>
      <c r="TJG68" s="144"/>
      <c r="TJH68" s="143"/>
      <c r="TJI68" s="145"/>
      <c r="TJJ68" s="143"/>
      <c r="TJK68" s="145"/>
      <c r="TJL68" s="146"/>
      <c r="TJM68" s="147"/>
      <c r="TJN68"/>
      <c r="TJO68" s="148"/>
      <c r="TJP68"/>
      <c r="TJQ68" s="140"/>
      <c r="TJR68" s="149"/>
      <c r="TJS68"/>
      <c r="TJT68" s="142"/>
      <c r="TJU68" s="143"/>
      <c r="TJV68" s="144"/>
      <c r="TJW68" s="144"/>
      <c r="TJX68" s="143"/>
      <c r="TJY68" s="145"/>
      <c r="TJZ68" s="143"/>
      <c r="TKA68" s="145"/>
      <c r="TKB68" s="146"/>
      <c r="TKC68" s="147"/>
      <c r="TKD68"/>
      <c r="TKE68" s="148"/>
      <c r="TKF68"/>
      <c r="TKG68" s="140"/>
      <c r="TKH68" s="149"/>
      <c r="TKI68"/>
      <c r="TKJ68" s="142"/>
      <c r="TKK68" s="143"/>
      <c r="TKL68" s="144"/>
      <c r="TKM68" s="144"/>
      <c r="TKN68" s="143"/>
      <c r="TKO68" s="145"/>
      <c r="TKP68" s="143"/>
      <c r="TKQ68" s="145"/>
      <c r="TKR68" s="146"/>
      <c r="TKS68" s="147"/>
      <c r="TKT68"/>
      <c r="TKU68" s="148"/>
      <c r="TKV68"/>
      <c r="TKW68" s="140"/>
      <c r="TKX68" s="149"/>
      <c r="TKY68"/>
      <c r="TKZ68" s="142"/>
      <c r="TLA68" s="143"/>
      <c r="TLB68" s="144"/>
      <c r="TLC68" s="144"/>
      <c r="TLD68" s="143"/>
      <c r="TLE68" s="145"/>
      <c r="TLF68" s="143"/>
      <c r="TLG68" s="145"/>
      <c r="TLH68" s="146"/>
      <c r="TLI68" s="147"/>
      <c r="TLJ68"/>
      <c r="TLK68" s="148"/>
      <c r="TLL68"/>
      <c r="TLM68" s="140"/>
      <c r="TLN68" s="149"/>
      <c r="TLO68"/>
      <c r="TLP68" s="142"/>
      <c r="TLQ68" s="143"/>
      <c r="TLR68" s="144"/>
      <c r="TLS68" s="144"/>
      <c r="TLT68" s="143"/>
      <c r="TLU68" s="145"/>
      <c r="TLV68" s="143"/>
      <c r="TLW68" s="145"/>
      <c r="TLX68" s="146"/>
      <c r="TLY68" s="147"/>
      <c r="TLZ68"/>
      <c r="TMA68" s="148"/>
      <c r="TMB68"/>
      <c r="TMC68" s="140"/>
      <c r="TMD68" s="149"/>
      <c r="TME68"/>
      <c r="TMF68" s="142"/>
      <c r="TMG68" s="143"/>
      <c r="TMH68" s="144"/>
      <c r="TMI68" s="144"/>
      <c r="TMJ68" s="143"/>
      <c r="TMK68" s="145"/>
      <c r="TML68" s="143"/>
      <c r="TMM68" s="145"/>
      <c r="TMN68" s="146"/>
      <c r="TMO68" s="147"/>
      <c r="TMP68"/>
      <c r="TMQ68" s="148"/>
      <c r="TMR68"/>
      <c r="TMS68" s="140"/>
      <c r="TMT68" s="149"/>
      <c r="TMU68"/>
      <c r="TMV68" s="142"/>
      <c r="TMW68" s="143"/>
      <c r="TMX68" s="144"/>
      <c r="TMY68" s="144"/>
      <c r="TMZ68" s="143"/>
      <c r="TNA68" s="145"/>
      <c r="TNB68" s="143"/>
      <c r="TNC68" s="145"/>
      <c r="TND68" s="146"/>
      <c r="TNE68" s="147"/>
      <c r="TNF68"/>
      <c r="TNG68" s="148"/>
      <c r="TNH68"/>
      <c r="TNI68" s="140"/>
      <c r="TNJ68" s="149"/>
      <c r="TNK68"/>
      <c r="TNL68" s="142"/>
      <c r="TNM68" s="143"/>
      <c r="TNN68" s="144"/>
      <c r="TNO68" s="144"/>
      <c r="TNP68" s="143"/>
      <c r="TNQ68" s="145"/>
      <c r="TNR68" s="143"/>
      <c r="TNS68" s="145"/>
      <c r="TNT68" s="146"/>
      <c r="TNU68" s="147"/>
      <c r="TNV68"/>
      <c r="TNW68" s="148"/>
      <c r="TNX68"/>
      <c r="TNY68" s="140"/>
      <c r="TNZ68" s="149"/>
      <c r="TOA68"/>
      <c r="TOB68" s="142"/>
      <c r="TOC68" s="143"/>
      <c r="TOD68" s="144"/>
      <c r="TOE68" s="144"/>
      <c r="TOF68" s="143"/>
      <c r="TOG68" s="145"/>
      <c r="TOH68" s="143"/>
      <c r="TOI68" s="145"/>
      <c r="TOJ68" s="146"/>
      <c r="TOK68" s="147"/>
      <c r="TOL68"/>
      <c r="TOM68" s="148"/>
      <c r="TON68"/>
      <c r="TOO68" s="140"/>
      <c r="TOP68" s="149"/>
      <c r="TOQ68"/>
      <c r="TOR68" s="142"/>
      <c r="TOS68" s="143"/>
      <c r="TOT68" s="144"/>
      <c r="TOU68" s="144"/>
      <c r="TOV68" s="143"/>
      <c r="TOW68" s="145"/>
      <c r="TOX68" s="143"/>
      <c r="TOY68" s="145"/>
      <c r="TOZ68" s="146"/>
      <c r="TPA68" s="147"/>
      <c r="TPB68"/>
      <c r="TPC68" s="148"/>
      <c r="TPD68"/>
      <c r="TPE68" s="140"/>
      <c r="TPF68" s="149"/>
      <c r="TPG68"/>
      <c r="TPH68" s="142"/>
      <c r="TPI68" s="143"/>
      <c r="TPJ68" s="144"/>
      <c r="TPK68" s="144"/>
      <c r="TPL68" s="143"/>
      <c r="TPM68" s="145"/>
      <c r="TPN68" s="143"/>
      <c r="TPO68" s="145"/>
      <c r="TPP68" s="146"/>
      <c r="TPQ68" s="147"/>
      <c r="TPR68"/>
      <c r="TPS68" s="148"/>
      <c r="TPT68"/>
      <c r="TPU68" s="140"/>
      <c r="TPV68" s="149"/>
      <c r="TPW68"/>
      <c r="TPX68" s="142"/>
      <c r="TPY68" s="143"/>
      <c r="TPZ68" s="144"/>
      <c r="TQA68" s="144"/>
      <c r="TQB68" s="143"/>
      <c r="TQC68" s="145"/>
      <c r="TQD68" s="143"/>
      <c r="TQE68" s="145"/>
      <c r="TQF68" s="146"/>
      <c r="TQG68" s="147"/>
      <c r="TQH68"/>
      <c r="TQI68" s="148"/>
      <c r="TQJ68"/>
      <c r="TQK68" s="140"/>
      <c r="TQL68" s="149"/>
      <c r="TQM68"/>
      <c r="TQN68" s="142"/>
      <c r="TQO68" s="143"/>
      <c r="TQP68" s="144"/>
      <c r="TQQ68" s="144"/>
      <c r="TQR68" s="143"/>
      <c r="TQS68" s="145"/>
      <c r="TQT68" s="143"/>
      <c r="TQU68" s="145"/>
      <c r="TQV68" s="146"/>
      <c r="TQW68" s="147"/>
      <c r="TQX68"/>
      <c r="TQY68" s="148"/>
      <c r="TQZ68"/>
      <c r="TRA68" s="140"/>
      <c r="TRB68" s="149"/>
      <c r="TRC68"/>
      <c r="TRD68" s="142"/>
      <c r="TRE68" s="143"/>
      <c r="TRF68" s="144"/>
      <c r="TRG68" s="144"/>
      <c r="TRH68" s="143"/>
      <c r="TRI68" s="145"/>
      <c r="TRJ68" s="143"/>
      <c r="TRK68" s="145"/>
      <c r="TRL68" s="146"/>
      <c r="TRM68" s="147"/>
      <c r="TRN68"/>
      <c r="TRO68" s="148"/>
      <c r="TRP68"/>
      <c r="TRQ68" s="140"/>
      <c r="TRR68" s="149"/>
      <c r="TRS68"/>
      <c r="TRT68" s="142"/>
      <c r="TRU68" s="143"/>
      <c r="TRV68" s="144"/>
      <c r="TRW68" s="144"/>
      <c r="TRX68" s="143"/>
      <c r="TRY68" s="145"/>
      <c r="TRZ68" s="143"/>
      <c r="TSA68" s="145"/>
      <c r="TSB68" s="146"/>
      <c r="TSC68" s="147"/>
      <c r="TSD68"/>
      <c r="TSE68" s="148"/>
      <c r="TSF68"/>
      <c r="TSG68" s="140"/>
      <c r="TSH68" s="149"/>
      <c r="TSI68"/>
      <c r="TSJ68" s="142"/>
      <c r="TSK68" s="143"/>
      <c r="TSL68" s="144"/>
      <c r="TSM68" s="144"/>
      <c r="TSN68" s="143"/>
      <c r="TSO68" s="145"/>
      <c r="TSP68" s="143"/>
      <c r="TSQ68" s="145"/>
      <c r="TSR68" s="146"/>
      <c r="TSS68" s="147"/>
      <c r="TST68"/>
      <c r="TSU68" s="148"/>
      <c r="TSV68"/>
      <c r="TSW68" s="140"/>
      <c r="TSX68" s="149"/>
      <c r="TSY68"/>
      <c r="TSZ68" s="142"/>
      <c r="TTA68" s="143"/>
      <c r="TTB68" s="144"/>
      <c r="TTC68" s="144"/>
      <c r="TTD68" s="143"/>
      <c r="TTE68" s="145"/>
      <c r="TTF68" s="143"/>
      <c r="TTG68" s="145"/>
      <c r="TTH68" s="146"/>
      <c r="TTI68" s="147"/>
      <c r="TTJ68"/>
      <c r="TTK68" s="148"/>
      <c r="TTL68"/>
      <c r="TTM68" s="140"/>
      <c r="TTN68" s="149"/>
      <c r="TTO68"/>
      <c r="TTP68" s="142"/>
      <c r="TTQ68" s="143"/>
      <c r="TTR68" s="144"/>
      <c r="TTS68" s="144"/>
      <c r="TTT68" s="143"/>
      <c r="TTU68" s="145"/>
      <c r="TTV68" s="143"/>
      <c r="TTW68" s="145"/>
      <c r="TTX68" s="146"/>
      <c r="TTY68" s="147"/>
      <c r="TTZ68"/>
      <c r="TUA68" s="148"/>
      <c r="TUB68"/>
      <c r="TUC68" s="140"/>
      <c r="TUD68" s="149"/>
      <c r="TUE68"/>
      <c r="TUF68" s="142"/>
      <c r="TUG68" s="143"/>
      <c r="TUH68" s="144"/>
      <c r="TUI68" s="144"/>
      <c r="TUJ68" s="143"/>
      <c r="TUK68" s="145"/>
      <c r="TUL68" s="143"/>
      <c r="TUM68" s="145"/>
      <c r="TUN68" s="146"/>
      <c r="TUO68" s="147"/>
      <c r="TUP68"/>
      <c r="TUQ68" s="148"/>
      <c r="TUR68"/>
      <c r="TUS68" s="140"/>
      <c r="TUT68" s="149"/>
      <c r="TUU68"/>
      <c r="TUV68" s="142"/>
      <c r="TUW68" s="143"/>
      <c r="TUX68" s="144"/>
      <c r="TUY68" s="144"/>
      <c r="TUZ68" s="143"/>
      <c r="TVA68" s="145"/>
      <c r="TVB68" s="143"/>
      <c r="TVC68" s="145"/>
      <c r="TVD68" s="146"/>
      <c r="TVE68" s="147"/>
      <c r="TVF68"/>
      <c r="TVG68" s="148"/>
      <c r="TVH68"/>
      <c r="TVI68" s="140"/>
      <c r="TVJ68" s="149"/>
      <c r="TVK68"/>
      <c r="TVL68" s="142"/>
      <c r="TVM68" s="143"/>
      <c r="TVN68" s="144"/>
      <c r="TVO68" s="144"/>
      <c r="TVP68" s="143"/>
      <c r="TVQ68" s="145"/>
      <c r="TVR68" s="143"/>
      <c r="TVS68" s="145"/>
      <c r="TVT68" s="146"/>
      <c r="TVU68" s="147"/>
      <c r="TVV68"/>
      <c r="TVW68" s="148"/>
      <c r="TVX68"/>
      <c r="TVY68" s="140"/>
      <c r="TVZ68" s="149"/>
      <c r="TWA68"/>
      <c r="TWB68" s="142"/>
      <c r="TWC68" s="143"/>
      <c r="TWD68" s="144"/>
      <c r="TWE68" s="144"/>
      <c r="TWF68" s="143"/>
      <c r="TWG68" s="145"/>
      <c r="TWH68" s="143"/>
      <c r="TWI68" s="145"/>
      <c r="TWJ68" s="146"/>
      <c r="TWK68" s="147"/>
      <c r="TWL68"/>
      <c r="TWM68" s="148"/>
      <c r="TWN68"/>
      <c r="TWO68" s="140"/>
      <c r="TWP68" s="149"/>
      <c r="TWQ68"/>
      <c r="TWR68" s="142"/>
      <c r="TWS68" s="143"/>
      <c r="TWT68" s="144"/>
      <c r="TWU68" s="144"/>
      <c r="TWV68" s="143"/>
      <c r="TWW68" s="145"/>
      <c r="TWX68" s="143"/>
      <c r="TWY68" s="145"/>
      <c r="TWZ68" s="146"/>
      <c r="TXA68" s="147"/>
      <c r="TXB68"/>
      <c r="TXC68" s="148"/>
      <c r="TXD68"/>
      <c r="TXE68" s="140"/>
      <c r="TXF68" s="149"/>
      <c r="TXG68"/>
      <c r="TXH68" s="142"/>
      <c r="TXI68" s="143"/>
      <c r="TXJ68" s="144"/>
      <c r="TXK68" s="144"/>
      <c r="TXL68" s="143"/>
      <c r="TXM68" s="145"/>
      <c r="TXN68" s="143"/>
      <c r="TXO68" s="145"/>
      <c r="TXP68" s="146"/>
      <c r="TXQ68" s="147"/>
      <c r="TXR68"/>
      <c r="TXS68" s="148"/>
      <c r="TXT68"/>
      <c r="TXU68" s="140"/>
      <c r="TXV68" s="149"/>
      <c r="TXW68"/>
      <c r="TXX68" s="142"/>
      <c r="TXY68" s="143"/>
      <c r="TXZ68" s="144"/>
      <c r="TYA68" s="144"/>
      <c r="TYB68" s="143"/>
      <c r="TYC68" s="145"/>
      <c r="TYD68" s="143"/>
      <c r="TYE68" s="145"/>
      <c r="TYF68" s="146"/>
      <c r="TYG68" s="147"/>
      <c r="TYH68"/>
      <c r="TYI68" s="148"/>
      <c r="TYJ68"/>
      <c r="TYK68" s="140"/>
      <c r="TYL68" s="149"/>
      <c r="TYM68"/>
      <c r="TYN68" s="142"/>
      <c r="TYO68" s="143"/>
      <c r="TYP68" s="144"/>
      <c r="TYQ68" s="144"/>
      <c r="TYR68" s="143"/>
      <c r="TYS68" s="145"/>
      <c r="TYT68" s="143"/>
      <c r="TYU68" s="145"/>
      <c r="TYV68" s="146"/>
      <c r="TYW68" s="147"/>
      <c r="TYX68"/>
      <c r="TYY68" s="148"/>
      <c r="TYZ68"/>
      <c r="TZA68" s="140"/>
      <c r="TZB68" s="149"/>
      <c r="TZC68"/>
      <c r="TZD68" s="142"/>
      <c r="TZE68" s="143"/>
      <c r="TZF68" s="144"/>
      <c r="TZG68" s="144"/>
      <c r="TZH68" s="143"/>
      <c r="TZI68" s="145"/>
      <c r="TZJ68" s="143"/>
      <c r="TZK68" s="145"/>
      <c r="TZL68" s="146"/>
      <c r="TZM68" s="147"/>
      <c r="TZN68"/>
      <c r="TZO68" s="148"/>
      <c r="TZP68"/>
      <c r="TZQ68" s="140"/>
      <c r="TZR68" s="149"/>
      <c r="TZS68"/>
      <c r="TZT68" s="142"/>
      <c r="TZU68" s="143"/>
      <c r="TZV68" s="144"/>
      <c r="TZW68" s="144"/>
      <c r="TZX68" s="143"/>
      <c r="TZY68" s="145"/>
      <c r="TZZ68" s="143"/>
      <c r="UAA68" s="145"/>
      <c r="UAB68" s="146"/>
      <c r="UAC68" s="147"/>
      <c r="UAD68"/>
      <c r="UAE68" s="148"/>
      <c r="UAF68"/>
      <c r="UAG68" s="140"/>
      <c r="UAH68" s="149"/>
      <c r="UAI68"/>
      <c r="UAJ68" s="142"/>
      <c r="UAK68" s="143"/>
      <c r="UAL68" s="144"/>
      <c r="UAM68" s="144"/>
      <c r="UAN68" s="143"/>
      <c r="UAO68" s="145"/>
      <c r="UAP68" s="143"/>
      <c r="UAQ68" s="145"/>
      <c r="UAR68" s="146"/>
      <c r="UAS68" s="147"/>
      <c r="UAT68"/>
      <c r="UAU68" s="148"/>
      <c r="UAV68"/>
      <c r="UAW68" s="140"/>
      <c r="UAX68" s="149"/>
      <c r="UAY68"/>
      <c r="UAZ68" s="142"/>
      <c r="UBA68" s="143"/>
      <c r="UBB68" s="144"/>
      <c r="UBC68" s="144"/>
      <c r="UBD68" s="143"/>
      <c r="UBE68" s="145"/>
      <c r="UBF68" s="143"/>
      <c r="UBG68" s="145"/>
      <c r="UBH68" s="146"/>
      <c r="UBI68" s="147"/>
      <c r="UBJ68"/>
      <c r="UBK68" s="148"/>
      <c r="UBL68"/>
      <c r="UBM68" s="140"/>
      <c r="UBN68" s="149"/>
      <c r="UBO68"/>
      <c r="UBP68" s="142"/>
      <c r="UBQ68" s="143"/>
      <c r="UBR68" s="144"/>
      <c r="UBS68" s="144"/>
      <c r="UBT68" s="143"/>
      <c r="UBU68" s="145"/>
      <c r="UBV68" s="143"/>
      <c r="UBW68" s="145"/>
      <c r="UBX68" s="146"/>
      <c r="UBY68" s="147"/>
      <c r="UBZ68"/>
      <c r="UCA68" s="148"/>
      <c r="UCB68"/>
      <c r="UCC68" s="140"/>
      <c r="UCD68" s="149"/>
      <c r="UCE68"/>
      <c r="UCF68" s="142"/>
      <c r="UCG68" s="143"/>
      <c r="UCH68" s="144"/>
      <c r="UCI68" s="144"/>
      <c r="UCJ68" s="143"/>
      <c r="UCK68" s="145"/>
      <c r="UCL68" s="143"/>
      <c r="UCM68" s="145"/>
      <c r="UCN68" s="146"/>
      <c r="UCO68" s="147"/>
      <c r="UCP68"/>
      <c r="UCQ68" s="148"/>
      <c r="UCR68"/>
      <c r="UCS68" s="140"/>
      <c r="UCT68" s="149"/>
      <c r="UCU68"/>
      <c r="UCV68" s="142"/>
      <c r="UCW68" s="143"/>
      <c r="UCX68" s="144"/>
      <c r="UCY68" s="144"/>
      <c r="UCZ68" s="143"/>
      <c r="UDA68" s="145"/>
      <c r="UDB68" s="143"/>
      <c r="UDC68" s="145"/>
      <c r="UDD68" s="146"/>
      <c r="UDE68" s="147"/>
      <c r="UDF68"/>
      <c r="UDG68" s="148"/>
      <c r="UDH68"/>
      <c r="UDI68" s="140"/>
      <c r="UDJ68" s="149"/>
      <c r="UDK68"/>
      <c r="UDL68" s="142"/>
      <c r="UDM68" s="143"/>
      <c r="UDN68" s="144"/>
      <c r="UDO68" s="144"/>
      <c r="UDP68" s="143"/>
      <c r="UDQ68" s="145"/>
      <c r="UDR68" s="143"/>
      <c r="UDS68" s="145"/>
      <c r="UDT68" s="146"/>
      <c r="UDU68" s="147"/>
      <c r="UDV68"/>
      <c r="UDW68" s="148"/>
      <c r="UDX68"/>
      <c r="UDY68" s="140"/>
      <c r="UDZ68" s="149"/>
      <c r="UEA68"/>
      <c r="UEB68" s="142"/>
      <c r="UEC68" s="143"/>
      <c r="UED68" s="144"/>
      <c r="UEE68" s="144"/>
      <c r="UEF68" s="143"/>
      <c r="UEG68" s="145"/>
      <c r="UEH68" s="143"/>
      <c r="UEI68" s="145"/>
      <c r="UEJ68" s="146"/>
      <c r="UEK68" s="147"/>
      <c r="UEL68"/>
      <c r="UEM68" s="148"/>
      <c r="UEN68"/>
      <c r="UEO68" s="140"/>
      <c r="UEP68" s="149"/>
      <c r="UEQ68"/>
      <c r="UER68" s="142"/>
      <c r="UES68" s="143"/>
      <c r="UET68" s="144"/>
      <c r="UEU68" s="144"/>
      <c r="UEV68" s="143"/>
      <c r="UEW68" s="145"/>
      <c r="UEX68" s="143"/>
      <c r="UEY68" s="145"/>
      <c r="UEZ68" s="146"/>
      <c r="UFA68" s="147"/>
      <c r="UFB68"/>
      <c r="UFC68" s="148"/>
      <c r="UFD68"/>
      <c r="UFE68" s="140"/>
      <c r="UFF68" s="149"/>
      <c r="UFG68"/>
      <c r="UFH68" s="142"/>
      <c r="UFI68" s="143"/>
      <c r="UFJ68" s="144"/>
      <c r="UFK68" s="144"/>
      <c r="UFL68" s="143"/>
      <c r="UFM68" s="145"/>
      <c r="UFN68" s="143"/>
      <c r="UFO68" s="145"/>
      <c r="UFP68" s="146"/>
      <c r="UFQ68" s="147"/>
      <c r="UFR68"/>
      <c r="UFS68" s="148"/>
      <c r="UFT68"/>
      <c r="UFU68" s="140"/>
      <c r="UFV68" s="149"/>
      <c r="UFW68"/>
      <c r="UFX68" s="142"/>
      <c r="UFY68" s="143"/>
      <c r="UFZ68" s="144"/>
      <c r="UGA68" s="144"/>
      <c r="UGB68" s="143"/>
      <c r="UGC68" s="145"/>
      <c r="UGD68" s="143"/>
      <c r="UGE68" s="145"/>
      <c r="UGF68" s="146"/>
      <c r="UGG68" s="147"/>
      <c r="UGH68"/>
      <c r="UGI68" s="148"/>
      <c r="UGJ68"/>
      <c r="UGK68" s="140"/>
      <c r="UGL68" s="149"/>
      <c r="UGM68"/>
      <c r="UGN68" s="142"/>
      <c r="UGO68" s="143"/>
      <c r="UGP68" s="144"/>
      <c r="UGQ68" s="144"/>
      <c r="UGR68" s="143"/>
      <c r="UGS68" s="145"/>
      <c r="UGT68" s="143"/>
      <c r="UGU68" s="145"/>
      <c r="UGV68" s="146"/>
      <c r="UGW68" s="147"/>
      <c r="UGX68"/>
      <c r="UGY68" s="148"/>
      <c r="UGZ68"/>
      <c r="UHA68" s="140"/>
      <c r="UHB68" s="149"/>
      <c r="UHC68"/>
      <c r="UHD68" s="142"/>
      <c r="UHE68" s="143"/>
      <c r="UHF68" s="144"/>
      <c r="UHG68" s="144"/>
      <c r="UHH68" s="143"/>
      <c r="UHI68" s="145"/>
      <c r="UHJ68" s="143"/>
      <c r="UHK68" s="145"/>
      <c r="UHL68" s="146"/>
      <c r="UHM68" s="147"/>
      <c r="UHN68"/>
      <c r="UHO68" s="148"/>
      <c r="UHP68"/>
      <c r="UHQ68" s="140"/>
      <c r="UHR68" s="149"/>
      <c r="UHS68"/>
      <c r="UHT68" s="142"/>
      <c r="UHU68" s="143"/>
      <c r="UHV68" s="144"/>
      <c r="UHW68" s="144"/>
      <c r="UHX68" s="143"/>
      <c r="UHY68" s="145"/>
      <c r="UHZ68" s="143"/>
      <c r="UIA68" s="145"/>
      <c r="UIB68" s="146"/>
      <c r="UIC68" s="147"/>
      <c r="UID68"/>
      <c r="UIE68" s="148"/>
      <c r="UIF68"/>
      <c r="UIG68" s="140"/>
      <c r="UIH68" s="149"/>
      <c r="UII68"/>
      <c r="UIJ68" s="142"/>
      <c r="UIK68" s="143"/>
      <c r="UIL68" s="144"/>
      <c r="UIM68" s="144"/>
      <c r="UIN68" s="143"/>
      <c r="UIO68" s="145"/>
      <c r="UIP68" s="143"/>
      <c r="UIQ68" s="145"/>
      <c r="UIR68" s="146"/>
      <c r="UIS68" s="147"/>
      <c r="UIT68"/>
      <c r="UIU68" s="148"/>
      <c r="UIV68"/>
      <c r="UIW68" s="140"/>
      <c r="UIX68" s="149"/>
      <c r="UIY68"/>
      <c r="UIZ68" s="142"/>
      <c r="UJA68" s="143"/>
      <c r="UJB68" s="144"/>
      <c r="UJC68" s="144"/>
      <c r="UJD68" s="143"/>
      <c r="UJE68" s="145"/>
      <c r="UJF68" s="143"/>
      <c r="UJG68" s="145"/>
      <c r="UJH68" s="146"/>
      <c r="UJI68" s="147"/>
      <c r="UJJ68"/>
      <c r="UJK68" s="148"/>
      <c r="UJL68"/>
      <c r="UJM68" s="140"/>
      <c r="UJN68" s="149"/>
      <c r="UJO68"/>
      <c r="UJP68" s="142"/>
      <c r="UJQ68" s="143"/>
      <c r="UJR68" s="144"/>
      <c r="UJS68" s="144"/>
      <c r="UJT68" s="143"/>
      <c r="UJU68" s="145"/>
      <c r="UJV68" s="143"/>
      <c r="UJW68" s="145"/>
      <c r="UJX68" s="146"/>
      <c r="UJY68" s="147"/>
      <c r="UJZ68"/>
      <c r="UKA68" s="148"/>
      <c r="UKB68"/>
      <c r="UKC68" s="140"/>
      <c r="UKD68" s="149"/>
      <c r="UKE68"/>
      <c r="UKF68" s="142"/>
      <c r="UKG68" s="143"/>
      <c r="UKH68" s="144"/>
      <c r="UKI68" s="144"/>
      <c r="UKJ68" s="143"/>
      <c r="UKK68" s="145"/>
      <c r="UKL68" s="143"/>
      <c r="UKM68" s="145"/>
      <c r="UKN68" s="146"/>
      <c r="UKO68" s="147"/>
      <c r="UKP68"/>
      <c r="UKQ68" s="148"/>
      <c r="UKR68"/>
      <c r="UKS68" s="140"/>
      <c r="UKT68" s="149"/>
      <c r="UKU68"/>
      <c r="UKV68" s="142"/>
      <c r="UKW68" s="143"/>
      <c r="UKX68" s="144"/>
      <c r="UKY68" s="144"/>
      <c r="UKZ68" s="143"/>
      <c r="ULA68" s="145"/>
      <c r="ULB68" s="143"/>
      <c r="ULC68" s="145"/>
      <c r="ULD68" s="146"/>
      <c r="ULE68" s="147"/>
      <c r="ULF68"/>
      <c r="ULG68" s="148"/>
      <c r="ULH68"/>
      <c r="ULI68" s="140"/>
      <c r="ULJ68" s="149"/>
      <c r="ULK68"/>
      <c r="ULL68" s="142"/>
      <c r="ULM68" s="143"/>
      <c r="ULN68" s="144"/>
      <c r="ULO68" s="144"/>
      <c r="ULP68" s="143"/>
      <c r="ULQ68" s="145"/>
      <c r="ULR68" s="143"/>
      <c r="ULS68" s="145"/>
      <c r="ULT68" s="146"/>
      <c r="ULU68" s="147"/>
      <c r="ULV68"/>
      <c r="ULW68" s="148"/>
      <c r="ULX68"/>
      <c r="ULY68" s="140"/>
      <c r="ULZ68" s="149"/>
      <c r="UMA68"/>
      <c r="UMB68" s="142"/>
      <c r="UMC68" s="143"/>
      <c r="UMD68" s="144"/>
      <c r="UME68" s="144"/>
      <c r="UMF68" s="143"/>
      <c r="UMG68" s="145"/>
      <c r="UMH68" s="143"/>
      <c r="UMI68" s="145"/>
      <c r="UMJ68" s="146"/>
      <c r="UMK68" s="147"/>
      <c r="UML68"/>
      <c r="UMM68" s="148"/>
      <c r="UMN68"/>
      <c r="UMO68" s="140"/>
      <c r="UMP68" s="149"/>
      <c r="UMQ68"/>
      <c r="UMR68" s="142"/>
      <c r="UMS68" s="143"/>
      <c r="UMT68" s="144"/>
      <c r="UMU68" s="144"/>
      <c r="UMV68" s="143"/>
      <c r="UMW68" s="145"/>
      <c r="UMX68" s="143"/>
      <c r="UMY68" s="145"/>
      <c r="UMZ68" s="146"/>
      <c r="UNA68" s="147"/>
      <c r="UNB68"/>
      <c r="UNC68" s="148"/>
      <c r="UND68"/>
      <c r="UNE68" s="140"/>
      <c r="UNF68" s="149"/>
      <c r="UNG68"/>
      <c r="UNH68" s="142"/>
      <c r="UNI68" s="143"/>
      <c r="UNJ68" s="144"/>
      <c r="UNK68" s="144"/>
      <c r="UNL68" s="143"/>
      <c r="UNM68" s="145"/>
      <c r="UNN68" s="143"/>
      <c r="UNO68" s="145"/>
      <c r="UNP68" s="146"/>
      <c r="UNQ68" s="147"/>
      <c r="UNR68"/>
      <c r="UNS68" s="148"/>
      <c r="UNT68"/>
      <c r="UNU68" s="140"/>
      <c r="UNV68" s="149"/>
      <c r="UNW68"/>
      <c r="UNX68" s="142"/>
      <c r="UNY68" s="143"/>
      <c r="UNZ68" s="144"/>
      <c r="UOA68" s="144"/>
      <c r="UOB68" s="143"/>
      <c r="UOC68" s="145"/>
      <c r="UOD68" s="143"/>
      <c r="UOE68" s="145"/>
      <c r="UOF68" s="146"/>
      <c r="UOG68" s="147"/>
      <c r="UOH68"/>
      <c r="UOI68" s="148"/>
      <c r="UOJ68"/>
      <c r="UOK68" s="140"/>
      <c r="UOL68" s="149"/>
      <c r="UOM68"/>
      <c r="UON68" s="142"/>
      <c r="UOO68" s="143"/>
      <c r="UOP68" s="144"/>
      <c r="UOQ68" s="144"/>
      <c r="UOR68" s="143"/>
      <c r="UOS68" s="145"/>
      <c r="UOT68" s="143"/>
      <c r="UOU68" s="145"/>
      <c r="UOV68" s="146"/>
      <c r="UOW68" s="147"/>
      <c r="UOX68"/>
      <c r="UOY68" s="148"/>
      <c r="UOZ68"/>
      <c r="UPA68" s="140"/>
      <c r="UPB68" s="149"/>
      <c r="UPC68"/>
      <c r="UPD68" s="142"/>
      <c r="UPE68" s="143"/>
      <c r="UPF68" s="144"/>
      <c r="UPG68" s="144"/>
      <c r="UPH68" s="143"/>
      <c r="UPI68" s="145"/>
      <c r="UPJ68" s="143"/>
      <c r="UPK68" s="145"/>
      <c r="UPL68" s="146"/>
      <c r="UPM68" s="147"/>
      <c r="UPN68"/>
      <c r="UPO68" s="148"/>
      <c r="UPP68"/>
      <c r="UPQ68" s="140"/>
      <c r="UPR68" s="149"/>
      <c r="UPS68"/>
      <c r="UPT68" s="142"/>
      <c r="UPU68" s="143"/>
      <c r="UPV68" s="144"/>
      <c r="UPW68" s="144"/>
      <c r="UPX68" s="143"/>
      <c r="UPY68" s="145"/>
      <c r="UPZ68" s="143"/>
      <c r="UQA68" s="145"/>
      <c r="UQB68" s="146"/>
      <c r="UQC68" s="147"/>
      <c r="UQD68"/>
      <c r="UQE68" s="148"/>
      <c r="UQF68"/>
      <c r="UQG68" s="140"/>
      <c r="UQH68" s="149"/>
      <c r="UQI68"/>
      <c r="UQJ68" s="142"/>
      <c r="UQK68" s="143"/>
      <c r="UQL68" s="144"/>
      <c r="UQM68" s="144"/>
      <c r="UQN68" s="143"/>
      <c r="UQO68" s="145"/>
      <c r="UQP68" s="143"/>
      <c r="UQQ68" s="145"/>
      <c r="UQR68" s="146"/>
      <c r="UQS68" s="147"/>
      <c r="UQT68"/>
      <c r="UQU68" s="148"/>
      <c r="UQV68"/>
      <c r="UQW68" s="140"/>
      <c r="UQX68" s="149"/>
      <c r="UQY68"/>
      <c r="UQZ68" s="142"/>
      <c r="URA68" s="143"/>
      <c r="URB68" s="144"/>
      <c r="URC68" s="144"/>
      <c r="URD68" s="143"/>
      <c r="URE68" s="145"/>
      <c r="URF68" s="143"/>
      <c r="URG68" s="145"/>
      <c r="URH68" s="146"/>
      <c r="URI68" s="147"/>
      <c r="URJ68"/>
      <c r="URK68" s="148"/>
      <c r="URL68"/>
      <c r="URM68" s="140"/>
      <c r="URN68" s="149"/>
      <c r="URO68"/>
      <c r="URP68" s="142"/>
      <c r="URQ68" s="143"/>
      <c r="URR68" s="144"/>
      <c r="URS68" s="144"/>
      <c r="URT68" s="143"/>
      <c r="URU68" s="145"/>
      <c r="URV68" s="143"/>
      <c r="URW68" s="145"/>
      <c r="URX68" s="146"/>
      <c r="URY68" s="147"/>
      <c r="URZ68"/>
      <c r="USA68" s="148"/>
      <c r="USB68"/>
      <c r="USC68" s="140"/>
      <c r="USD68" s="149"/>
      <c r="USE68"/>
      <c r="USF68" s="142"/>
      <c r="USG68" s="143"/>
      <c r="USH68" s="144"/>
      <c r="USI68" s="144"/>
      <c r="USJ68" s="143"/>
      <c r="USK68" s="145"/>
      <c r="USL68" s="143"/>
      <c r="USM68" s="145"/>
      <c r="USN68" s="146"/>
      <c r="USO68" s="147"/>
      <c r="USP68"/>
      <c r="USQ68" s="148"/>
      <c r="USR68"/>
      <c r="USS68" s="140"/>
      <c r="UST68" s="149"/>
      <c r="USU68"/>
      <c r="USV68" s="142"/>
      <c r="USW68" s="143"/>
      <c r="USX68" s="144"/>
      <c r="USY68" s="144"/>
      <c r="USZ68" s="143"/>
      <c r="UTA68" s="145"/>
      <c r="UTB68" s="143"/>
      <c r="UTC68" s="145"/>
      <c r="UTD68" s="146"/>
      <c r="UTE68" s="147"/>
      <c r="UTF68"/>
      <c r="UTG68" s="148"/>
      <c r="UTH68"/>
      <c r="UTI68" s="140"/>
      <c r="UTJ68" s="149"/>
      <c r="UTK68"/>
      <c r="UTL68" s="142"/>
      <c r="UTM68" s="143"/>
      <c r="UTN68" s="144"/>
      <c r="UTO68" s="144"/>
      <c r="UTP68" s="143"/>
      <c r="UTQ68" s="145"/>
      <c r="UTR68" s="143"/>
      <c r="UTS68" s="145"/>
      <c r="UTT68" s="146"/>
      <c r="UTU68" s="147"/>
      <c r="UTV68"/>
      <c r="UTW68" s="148"/>
      <c r="UTX68"/>
      <c r="UTY68" s="140"/>
      <c r="UTZ68" s="149"/>
      <c r="UUA68"/>
      <c r="UUB68" s="142"/>
      <c r="UUC68" s="143"/>
      <c r="UUD68" s="144"/>
      <c r="UUE68" s="144"/>
      <c r="UUF68" s="143"/>
      <c r="UUG68" s="145"/>
      <c r="UUH68" s="143"/>
      <c r="UUI68" s="145"/>
      <c r="UUJ68" s="146"/>
      <c r="UUK68" s="147"/>
      <c r="UUL68"/>
      <c r="UUM68" s="148"/>
      <c r="UUN68"/>
      <c r="UUO68" s="140"/>
      <c r="UUP68" s="149"/>
      <c r="UUQ68"/>
      <c r="UUR68" s="142"/>
      <c r="UUS68" s="143"/>
      <c r="UUT68" s="144"/>
      <c r="UUU68" s="144"/>
      <c r="UUV68" s="143"/>
      <c r="UUW68" s="145"/>
      <c r="UUX68" s="143"/>
      <c r="UUY68" s="145"/>
      <c r="UUZ68" s="146"/>
      <c r="UVA68" s="147"/>
      <c r="UVB68"/>
      <c r="UVC68" s="148"/>
      <c r="UVD68"/>
      <c r="UVE68" s="140"/>
      <c r="UVF68" s="149"/>
      <c r="UVG68"/>
      <c r="UVH68" s="142"/>
      <c r="UVI68" s="143"/>
      <c r="UVJ68" s="144"/>
      <c r="UVK68" s="144"/>
      <c r="UVL68" s="143"/>
      <c r="UVM68" s="145"/>
      <c r="UVN68" s="143"/>
      <c r="UVO68" s="145"/>
      <c r="UVP68" s="146"/>
      <c r="UVQ68" s="147"/>
      <c r="UVR68"/>
      <c r="UVS68" s="148"/>
      <c r="UVT68"/>
      <c r="UVU68" s="140"/>
      <c r="UVV68" s="149"/>
      <c r="UVW68"/>
      <c r="UVX68" s="142"/>
      <c r="UVY68" s="143"/>
      <c r="UVZ68" s="144"/>
      <c r="UWA68" s="144"/>
      <c r="UWB68" s="143"/>
      <c r="UWC68" s="145"/>
      <c r="UWD68" s="143"/>
      <c r="UWE68" s="145"/>
      <c r="UWF68" s="146"/>
      <c r="UWG68" s="147"/>
      <c r="UWH68"/>
      <c r="UWI68" s="148"/>
      <c r="UWJ68"/>
      <c r="UWK68" s="140"/>
      <c r="UWL68" s="149"/>
      <c r="UWM68"/>
      <c r="UWN68" s="142"/>
      <c r="UWO68" s="143"/>
      <c r="UWP68" s="144"/>
      <c r="UWQ68" s="144"/>
      <c r="UWR68" s="143"/>
      <c r="UWS68" s="145"/>
      <c r="UWT68" s="143"/>
      <c r="UWU68" s="145"/>
      <c r="UWV68" s="146"/>
      <c r="UWW68" s="147"/>
      <c r="UWX68"/>
      <c r="UWY68" s="148"/>
      <c r="UWZ68"/>
      <c r="UXA68" s="140"/>
      <c r="UXB68" s="149"/>
      <c r="UXC68"/>
      <c r="UXD68" s="142"/>
      <c r="UXE68" s="143"/>
      <c r="UXF68" s="144"/>
      <c r="UXG68" s="144"/>
      <c r="UXH68" s="143"/>
      <c r="UXI68" s="145"/>
      <c r="UXJ68" s="143"/>
      <c r="UXK68" s="145"/>
      <c r="UXL68" s="146"/>
      <c r="UXM68" s="147"/>
      <c r="UXN68"/>
      <c r="UXO68" s="148"/>
      <c r="UXP68"/>
      <c r="UXQ68" s="140"/>
      <c r="UXR68" s="149"/>
      <c r="UXS68"/>
      <c r="UXT68" s="142"/>
      <c r="UXU68" s="143"/>
      <c r="UXV68" s="144"/>
      <c r="UXW68" s="144"/>
      <c r="UXX68" s="143"/>
      <c r="UXY68" s="145"/>
      <c r="UXZ68" s="143"/>
      <c r="UYA68" s="145"/>
      <c r="UYB68" s="146"/>
      <c r="UYC68" s="147"/>
      <c r="UYD68"/>
      <c r="UYE68" s="148"/>
      <c r="UYF68"/>
      <c r="UYG68" s="140"/>
      <c r="UYH68" s="149"/>
      <c r="UYI68"/>
      <c r="UYJ68" s="142"/>
      <c r="UYK68" s="143"/>
      <c r="UYL68" s="144"/>
      <c r="UYM68" s="144"/>
      <c r="UYN68" s="143"/>
      <c r="UYO68" s="145"/>
      <c r="UYP68" s="143"/>
      <c r="UYQ68" s="145"/>
      <c r="UYR68" s="146"/>
      <c r="UYS68" s="147"/>
      <c r="UYT68"/>
      <c r="UYU68" s="148"/>
      <c r="UYV68"/>
      <c r="UYW68" s="140"/>
      <c r="UYX68" s="149"/>
      <c r="UYY68"/>
      <c r="UYZ68" s="142"/>
      <c r="UZA68" s="143"/>
      <c r="UZB68" s="144"/>
      <c r="UZC68" s="144"/>
      <c r="UZD68" s="143"/>
      <c r="UZE68" s="145"/>
      <c r="UZF68" s="143"/>
      <c r="UZG68" s="145"/>
      <c r="UZH68" s="146"/>
      <c r="UZI68" s="147"/>
      <c r="UZJ68"/>
      <c r="UZK68" s="148"/>
      <c r="UZL68"/>
      <c r="UZM68" s="140"/>
      <c r="UZN68" s="149"/>
      <c r="UZO68"/>
      <c r="UZP68" s="142"/>
      <c r="UZQ68" s="143"/>
      <c r="UZR68" s="144"/>
      <c r="UZS68" s="144"/>
      <c r="UZT68" s="143"/>
      <c r="UZU68" s="145"/>
      <c r="UZV68" s="143"/>
      <c r="UZW68" s="145"/>
      <c r="UZX68" s="146"/>
      <c r="UZY68" s="147"/>
      <c r="UZZ68"/>
      <c r="VAA68" s="148"/>
      <c r="VAB68"/>
      <c r="VAC68" s="140"/>
      <c r="VAD68" s="149"/>
      <c r="VAE68"/>
      <c r="VAF68" s="142"/>
      <c r="VAG68" s="143"/>
      <c r="VAH68" s="144"/>
      <c r="VAI68" s="144"/>
      <c r="VAJ68" s="143"/>
      <c r="VAK68" s="145"/>
      <c r="VAL68" s="143"/>
      <c r="VAM68" s="145"/>
      <c r="VAN68" s="146"/>
      <c r="VAO68" s="147"/>
      <c r="VAP68"/>
      <c r="VAQ68" s="148"/>
      <c r="VAR68"/>
      <c r="VAS68" s="140"/>
      <c r="VAT68" s="149"/>
      <c r="VAU68"/>
      <c r="VAV68" s="142"/>
      <c r="VAW68" s="143"/>
      <c r="VAX68" s="144"/>
      <c r="VAY68" s="144"/>
      <c r="VAZ68" s="143"/>
      <c r="VBA68" s="145"/>
      <c r="VBB68" s="143"/>
      <c r="VBC68" s="145"/>
      <c r="VBD68" s="146"/>
      <c r="VBE68" s="147"/>
      <c r="VBF68"/>
      <c r="VBG68" s="148"/>
      <c r="VBH68"/>
      <c r="VBI68" s="140"/>
      <c r="VBJ68" s="149"/>
      <c r="VBK68"/>
      <c r="VBL68" s="142"/>
      <c r="VBM68" s="143"/>
      <c r="VBN68" s="144"/>
      <c r="VBO68" s="144"/>
      <c r="VBP68" s="143"/>
      <c r="VBQ68" s="145"/>
      <c r="VBR68" s="143"/>
      <c r="VBS68" s="145"/>
      <c r="VBT68" s="146"/>
      <c r="VBU68" s="147"/>
      <c r="VBV68"/>
      <c r="VBW68" s="148"/>
      <c r="VBX68"/>
      <c r="VBY68" s="140"/>
      <c r="VBZ68" s="149"/>
      <c r="VCA68"/>
      <c r="VCB68" s="142"/>
      <c r="VCC68" s="143"/>
      <c r="VCD68" s="144"/>
      <c r="VCE68" s="144"/>
      <c r="VCF68" s="143"/>
      <c r="VCG68" s="145"/>
      <c r="VCH68" s="143"/>
      <c r="VCI68" s="145"/>
      <c r="VCJ68" s="146"/>
      <c r="VCK68" s="147"/>
      <c r="VCL68"/>
      <c r="VCM68" s="148"/>
      <c r="VCN68"/>
      <c r="VCO68" s="140"/>
      <c r="VCP68" s="149"/>
      <c r="VCQ68"/>
      <c r="VCR68" s="142"/>
      <c r="VCS68" s="143"/>
      <c r="VCT68" s="144"/>
      <c r="VCU68" s="144"/>
      <c r="VCV68" s="143"/>
      <c r="VCW68" s="145"/>
      <c r="VCX68" s="143"/>
      <c r="VCY68" s="145"/>
      <c r="VCZ68" s="146"/>
      <c r="VDA68" s="147"/>
      <c r="VDB68"/>
      <c r="VDC68" s="148"/>
      <c r="VDD68"/>
      <c r="VDE68" s="140"/>
      <c r="VDF68" s="149"/>
      <c r="VDG68"/>
      <c r="VDH68" s="142"/>
      <c r="VDI68" s="143"/>
      <c r="VDJ68" s="144"/>
      <c r="VDK68" s="144"/>
      <c r="VDL68" s="143"/>
      <c r="VDM68" s="145"/>
      <c r="VDN68" s="143"/>
      <c r="VDO68" s="145"/>
      <c r="VDP68" s="146"/>
      <c r="VDQ68" s="147"/>
      <c r="VDR68"/>
      <c r="VDS68" s="148"/>
      <c r="VDT68"/>
      <c r="VDU68" s="140"/>
      <c r="VDV68" s="149"/>
      <c r="VDW68"/>
      <c r="VDX68" s="142"/>
      <c r="VDY68" s="143"/>
      <c r="VDZ68" s="144"/>
      <c r="VEA68" s="144"/>
      <c r="VEB68" s="143"/>
      <c r="VEC68" s="145"/>
      <c r="VED68" s="143"/>
      <c r="VEE68" s="145"/>
      <c r="VEF68" s="146"/>
      <c r="VEG68" s="147"/>
      <c r="VEH68"/>
      <c r="VEI68" s="148"/>
      <c r="VEJ68"/>
      <c r="VEK68" s="140"/>
      <c r="VEL68" s="149"/>
      <c r="VEM68"/>
      <c r="VEN68" s="142"/>
      <c r="VEO68" s="143"/>
      <c r="VEP68" s="144"/>
      <c r="VEQ68" s="144"/>
      <c r="VER68" s="143"/>
      <c r="VES68" s="145"/>
      <c r="VET68" s="143"/>
      <c r="VEU68" s="145"/>
      <c r="VEV68" s="146"/>
      <c r="VEW68" s="147"/>
      <c r="VEX68"/>
      <c r="VEY68" s="148"/>
      <c r="VEZ68"/>
      <c r="VFA68" s="140"/>
      <c r="VFB68" s="149"/>
      <c r="VFC68"/>
      <c r="VFD68" s="142"/>
      <c r="VFE68" s="143"/>
      <c r="VFF68" s="144"/>
      <c r="VFG68" s="144"/>
      <c r="VFH68" s="143"/>
      <c r="VFI68" s="145"/>
      <c r="VFJ68" s="143"/>
      <c r="VFK68" s="145"/>
      <c r="VFL68" s="146"/>
      <c r="VFM68" s="147"/>
      <c r="VFN68"/>
      <c r="VFO68" s="148"/>
      <c r="VFP68"/>
      <c r="VFQ68" s="140"/>
      <c r="VFR68" s="149"/>
      <c r="VFS68"/>
      <c r="VFT68" s="142"/>
      <c r="VFU68" s="143"/>
      <c r="VFV68" s="144"/>
      <c r="VFW68" s="144"/>
      <c r="VFX68" s="143"/>
      <c r="VFY68" s="145"/>
      <c r="VFZ68" s="143"/>
      <c r="VGA68" s="145"/>
      <c r="VGB68" s="146"/>
      <c r="VGC68" s="147"/>
      <c r="VGD68"/>
      <c r="VGE68" s="148"/>
      <c r="VGF68"/>
      <c r="VGG68" s="140"/>
      <c r="VGH68" s="149"/>
      <c r="VGI68"/>
      <c r="VGJ68" s="142"/>
      <c r="VGK68" s="143"/>
      <c r="VGL68" s="144"/>
      <c r="VGM68" s="144"/>
      <c r="VGN68" s="143"/>
      <c r="VGO68" s="145"/>
      <c r="VGP68" s="143"/>
      <c r="VGQ68" s="145"/>
      <c r="VGR68" s="146"/>
      <c r="VGS68" s="147"/>
      <c r="VGT68"/>
      <c r="VGU68" s="148"/>
      <c r="VGV68"/>
      <c r="VGW68" s="140"/>
      <c r="VGX68" s="149"/>
      <c r="VGY68"/>
      <c r="VGZ68" s="142"/>
      <c r="VHA68" s="143"/>
      <c r="VHB68" s="144"/>
      <c r="VHC68" s="144"/>
    </row>
    <row r="69" spans="2:63 3073:12199 12790:15083" x14ac:dyDescent="0.3">
      <c r="B69" s="249" t="s">
        <v>168</v>
      </c>
      <c r="C69" s="18" t="s">
        <v>130</v>
      </c>
      <c r="D69" s="129" t="s">
        <v>18</v>
      </c>
      <c r="E69" s="137">
        <f>CEILING((((8200+297+115)*1.12)- 85)-150,50)</f>
        <v>9450</v>
      </c>
      <c r="F69" s="137">
        <v>85</v>
      </c>
      <c r="G69" s="137">
        <v>215</v>
      </c>
      <c r="H69" s="137">
        <v>75</v>
      </c>
      <c r="I69" s="137">
        <v>150</v>
      </c>
      <c r="J69" s="137">
        <f t="shared" ref="J69:J70" si="10">SUM(E69:I69)</f>
        <v>9975</v>
      </c>
      <c r="K69" s="137">
        <v>200</v>
      </c>
      <c r="L69" s="208">
        <f t="shared" ref="L69:L70" si="11">SUM(J69:K69)</f>
        <v>10175</v>
      </c>
      <c r="M69" s="132" t="s">
        <v>113</v>
      </c>
      <c r="N69" s="180" t="s">
        <v>158</v>
      </c>
      <c r="O69" s="141" t="s">
        <v>41</v>
      </c>
      <c r="P69" s="161" t="s">
        <v>159</v>
      </c>
      <c r="Q69" s="79" t="s">
        <v>136</v>
      </c>
      <c r="R69"/>
      <c r="S69" s="142"/>
      <c r="T69" s="143"/>
      <c r="U69" s="144"/>
      <c r="V69" s="144"/>
      <c r="W69" s="143"/>
      <c r="X69" s="145"/>
      <c r="Y69" s="143"/>
      <c r="Z69" s="145"/>
      <c r="AA69" s="146"/>
      <c r="AB69" s="147"/>
      <c r="AC69"/>
      <c r="AD69" s="148"/>
      <c r="AE69"/>
      <c r="AF69" s="140"/>
      <c r="AG69" s="149"/>
      <c r="AH69"/>
      <c r="AI69" s="142"/>
      <c r="AJ69" s="143"/>
      <c r="AK69" s="144"/>
      <c r="AL69" s="144"/>
      <c r="AM69" s="143"/>
      <c r="AN69" s="145"/>
      <c r="AO69" s="143"/>
      <c r="AP69" s="145"/>
      <c r="AQ69" s="146"/>
      <c r="AR69" s="147"/>
      <c r="AS69"/>
      <c r="AT69" s="148"/>
      <c r="AU69"/>
      <c r="AV69" s="140"/>
      <c r="AW69" s="149"/>
      <c r="AX69"/>
      <c r="AY69" s="142"/>
      <c r="AZ69" s="143"/>
      <c r="BA69" s="144"/>
      <c r="BB69" s="144"/>
      <c r="BC69" s="143"/>
      <c r="BD69" s="145"/>
      <c r="BE69" s="143"/>
      <c r="BF69" s="145"/>
      <c r="BG69" s="146"/>
      <c r="BH69" s="147"/>
      <c r="BI69"/>
      <c r="BJ69" s="148"/>
      <c r="BK69"/>
      <c r="DNE69" s="147"/>
      <c r="DNF69"/>
      <c r="DNG69" s="148"/>
      <c r="DNH69"/>
      <c r="DNI69" s="140"/>
      <c r="DNJ69" s="149"/>
      <c r="DNK69"/>
      <c r="DNL69" s="142"/>
      <c r="DNM69" s="143"/>
      <c r="DNN69" s="144"/>
      <c r="DNO69" s="144"/>
      <c r="DNP69" s="143"/>
      <c r="DNQ69" s="145"/>
      <c r="DNR69" s="143"/>
      <c r="DNS69" s="145"/>
      <c r="DNT69" s="146"/>
      <c r="DNU69" s="147"/>
      <c r="DNV69"/>
      <c r="DNW69" s="148"/>
      <c r="DNX69"/>
      <c r="DNY69" s="140"/>
      <c r="DNZ69" s="149"/>
      <c r="DOA69"/>
      <c r="DOB69" s="142"/>
      <c r="DOC69" s="143"/>
      <c r="DOD69" s="144"/>
      <c r="DOE69" s="144"/>
      <c r="DOF69" s="143"/>
      <c r="DOG69" s="145"/>
      <c r="DOH69" s="143"/>
      <c r="DOI69" s="145"/>
      <c r="DOJ69" s="146"/>
      <c r="DOK69" s="147"/>
      <c r="DOL69"/>
      <c r="DOM69" s="148"/>
      <c r="DON69"/>
      <c r="DOO69" s="140"/>
      <c r="DOP69" s="149"/>
      <c r="DOQ69"/>
      <c r="DOR69" s="142"/>
      <c r="DOS69" s="143"/>
      <c r="DOT69" s="144"/>
      <c r="DOU69" s="144"/>
      <c r="DOV69" s="143"/>
      <c r="DOW69" s="145"/>
      <c r="DOX69" s="143"/>
      <c r="DOY69" s="145"/>
      <c r="DOZ69" s="146"/>
      <c r="DPA69" s="147"/>
      <c r="DPB69"/>
      <c r="DPC69" s="148"/>
      <c r="DPD69"/>
      <c r="DPE69" s="140"/>
      <c r="DPF69" s="149"/>
      <c r="DPG69"/>
      <c r="DPH69" s="142"/>
      <c r="DPI69" s="143"/>
      <c r="DPJ69" s="144"/>
      <c r="DPK69" s="144"/>
      <c r="DPL69" s="143"/>
      <c r="DPM69" s="145"/>
      <c r="DPN69" s="143"/>
      <c r="DPO69" s="145"/>
      <c r="DPP69" s="146"/>
      <c r="DPQ69" s="147"/>
      <c r="DPR69"/>
      <c r="DPS69" s="148"/>
      <c r="DPT69"/>
      <c r="DPU69" s="140"/>
      <c r="DPV69" s="149"/>
      <c r="DPW69"/>
      <c r="DPX69" s="142"/>
      <c r="DPY69" s="143"/>
      <c r="DPZ69" s="144"/>
      <c r="DQA69" s="144"/>
      <c r="DQB69" s="143"/>
      <c r="DQC69" s="145"/>
      <c r="DQD69" s="143"/>
      <c r="DQE69" s="145"/>
      <c r="DQF69" s="146"/>
      <c r="DQG69" s="147"/>
      <c r="DQH69"/>
      <c r="DQI69" s="148"/>
      <c r="DQJ69"/>
      <c r="DQK69" s="140"/>
      <c r="DQL69" s="149"/>
      <c r="DQM69"/>
      <c r="DQN69" s="142"/>
      <c r="DQO69" s="143"/>
      <c r="DQP69" s="144"/>
      <c r="DQQ69" s="144"/>
      <c r="DQR69" s="143"/>
      <c r="DQS69" s="145"/>
      <c r="DQT69" s="143"/>
      <c r="DQU69" s="145"/>
      <c r="DQV69" s="146"/>
      <c r="DQW69" s="147"/>
      <c r="DQX69"/>
      <c r="DQY69" s="148"/>
      <c r="DQZ69"/>
      <c r="DRA69" s="140"/>
      <c r="DRB69" s="149"/>
      <c r="DRC69"/>
      <c r="DRD69" s="142"/>
      <c r="DRE69" s="143"/>
      <c r="DRF69" s="144"/>
      <c r="DRG69" s="144"/>
      <c r="DRH69" s="143"/>
      <c r="DRI69" s="145"/>
      <c r="DRJ69" s="143"/>
      <c r="DRK69" s="145"/>
      <c r="DRL69" s="146"/>
      <c r="DRM69" s="147"/>
      <c r="DRN69"/>
      <c r="DRO69" s="148"/>
      <c r="DRP69"/>
      <c r="DRQ69" s="140"/>
      <c r="DRR69" s="149"/>
      <c r="DRS69"/>
      <c r="DRT69" s="142"/>
      <c r="DRU69" s="143"/>
      <c r="DRV69" s="144"/>
      <c r="DRW69" s="144"/>
      <c r="DRX69" s="143"/>
      <c r="DRY69" s="145"/>
      <c r="DRZ69" s="143"/>
      <c r="DSA69" s="145"/>
      <c r="DSB69" s="146"/>
      <c r="DSC69" s="147"/>
      <c r="DSD69"/>
      <c r="DSE69" s="148"/>
      <c r="DSF69"/>
      <c r="DSG69" s="140"/>
      <c r="DSH69" s="149"/>
      <c r="DSI69"/>
      <c r="DSJ69" s="142"/>
      <c r="DSK69" s="143"/>
      <c r="DSL69" s="144"/>
      <c r="DSM69" s="144"/>
      <c r="DSN69" s="143"/>
      <c r="DSO69" s="145"/>
      <c r="DSP69" s="143"/>
      <c r="DSQ69" s="145"/>
      <c r="DSR69" s="146"/>
      <c r="DSS69" s="147"/>
      <c r="DST69"/>
      <c r="DSU69" s="148"/>
      <c r="DSV69"/>
      <c r="DSW69" s="140"/>
      <c r="DSX69" s="149"/>
      <c r="DSY69"/>
      <c r="DSZ69" s="142"/>
      <c r="DTA69" s="143"/>
      <c r="DTB69" s="144"/>
      <c r="DTC69" s="144"/>
      <c r="DTD69" s="143"/>
      <c r="DTE69" s="145"/>
      <c r="DTF69" s="143"/>
      <c r="DTG69" s="145"/>
      <c r="DTH69" s="146"/>
      <c r="DTI69" s="147"/>
      <c r="DTJ69"/>
      <c r="DTK69" s="148"/>
      <c r="DTL69"/>
      <c r="DTM69" s="140"/>
      <c r="DTN69" s="149"/>
      <c r="DTO69"/>
      <c r="DTP69" s="142"/>
      <c r="DTQ69" s="143"/>
      <c r="DTR69" s="144"/>
      <c r="DTS69" s="144"/>
      <c r="DTT69" s="143"/>
      <c r="DTU69" s="145"/>
      <c r="DTV69" s="143"/>
      <c r="DTW69" s="145"/>
      <c r="DTX69" s="146"/>
      <c r="DTY69" s="147"/>
      <c r="DTZ69"/>
      <c r="DUA69" s="148"/>
      <c r="DUB69"/>
      <c r="DUC69" s="140"/>
      <c r="DUD69" s="149"/>
      <c r="DUE69"/>
      <c r="DUF69" s="142"/>
      <c r="DUG69" s="143"/>
      <c r="DUH69" s="144"/>
      <c r="DUI69" s="144"/>
      <c r="DUJ69" s="143"/>
      <c r="DUK69" s="145"/>
      <c r="DUL69" s="143"/>
      <c r="DUM69" s="145"/>
      <c r="DUN69" s="146"/>
      <c r="DUO69" s="147"/>
      <c r="DUP69"/>
      <c r="DUQ69" s="148"/>
      <c r="DUR69"/>
      <c r="DUS69" s="140"/>
      <c r="DUT69" s="149"/>
      <c r="DUU69"/>
      <c r="DUV69" s="142"/>
      <c r="DUW69" s="143"/>
      <c r="DUX69" s="144"/>
      <c r="DUY69" s="144"/>
      <c r="DUZ69" s="143"/>
      <c r="DVA69" s="145"/>
      <c r="DVB69" s="143"/>
      <c r="DVC69" s="145"/>
      <c r="DVD69" s="146"/>
      <c r="DVE69" s="147"/>
      <c r="DVF69"/>
      <c r="DVG69" s="148"/>
      <c r="DVH69"/>
      <c r="DVI69" s="140"/>
      <c r="DVJ69" s="149"/>
      <c r="DVK69"/>
      <c r="DVL69" s="142"/>
      <c r="DVM69" s="143"/>
      <c r="DVN69" s="144"/>
      <c r="DVO69" s="144"/>
      <c r="DVP69" s="143"/>
      <c r="DVQ69" s="145"/>
      <c r="DVR69" s="143"/>
      <c r="DVS69" s="145"/>
      <c r="DVT69" s="146"/>
      <c r="DVU69" s="147"/>
      <c r="DVV69"/>
      <c r="DVW69" s="148"/>
      <c r="DVX69"/>
      <c r="DVY69" s="140"/>
      <c r="DVZ69" s="149"/>
      <c r="DWA69"/>
      <c r="DWB69" s="142"/>
      <c r="DWC69" s="143"/>
      <c r="DWD69" s="144"/>
      <c r="DWE69" s="144"/>
      <c r="DWF69" s="143"/>
      <c r="DWG69" s="145"/>
      <c r="DWH69" s="143"/>
      <c r="DWI69" s="145"/>
      <c r="DWJ69" s="146"/>
      <c r="DWK69" s="147"/>
      <c r="DWL69"/>
      <c r="DWM69" s="148"/>
      <c r="DWN69"/>
      <c r="DWO69" s="140"/>
      <c r="DWP69" s="149"/>
      <c r="DWQ69"/>
      <c r="DWR69" s="142"/>
      <c r="DWS69" s="143"/>
      <c r="DWT69" s="144"/>
      <c r="DWU69" s="144"/>
      <c r="DWV69" s="143"/>
      <c r="DWW69" s="145"/>
      <c r="DWX69" s="143"/>
      <c r="DWY69" s="145"/>
      <c r="DWZ69" s="146"/>
      <c r="DXA69" s="147"/>
      <c r="DXB69"/>
      <c r="DXC69" s="148"/>
      <c r="DXD69"/>
      <c r="DXE69" s="140"/>
      <c r="DXF69" s="149"/>
      <c r="DXG69"/>
      <c r="DXH69" s="142"/>
      <c r="DXI69" s="143"/>
      <c r="DXJ69" s="144"/>
      <c r="DXK69" s="144"/>
      <c r="DXL69" s="143"/>
      <c r="DXM69" s="145"/>
      <c r="DXN69" s="143"/>
      <c r="DXO69" s="145"/>
      <c r="DXP69" s="146"/>
      <c r="DXQ69" s="147"/>
      <c r="DXR69"/>
      <c r="DXS69" s="148"/>
      <c r="DXT69"/>
      <c r="DXU69" s="140"/>
      <c r="DXV69" s="149"/>
      <c r="DXW69"/>
      <c r="DXX69" s="142"/>
      <c r="DXY69" s="143"/>
      <c r="DXZ69" s="144"/>
      <c r="DYA69" s="144"/>
      <c r="DYB69" s="143"/>
      <c r="DYC69" s="145"/>
      <c r="DYD69" s="143"/>
      <c r="DYE69" s="145"/>
      <c r="DYF69" s="146"/>
      <c r="DYG69" s="147"/>
      <c r="DYH69"/>
      <c r="DYI69" s="148"/>
      <c r="DYJ69"/>
      <c r="DYK69" s="140"/>
      <c r="DYL69" s="149"/>
      <c r="DYM69"/>
      <c r="DYN69" s="142"/>
      <c r="DYO69" s="143"/>
      <c r="DYP69" s="144"/>
      <c r="DYQ69" s="144"/>
      <c r="DYR69" s="143"/>
      <c r="DYS69" s="145"/>
      <c r="DYT69" s="143"/>
      <c r="DYU69" s="145"/>
      <c r="DYV69" s="146"/>
      <c r="DYW69" s="147"/>
      <c r="DYX69"/>
      <c r="DYY69" s="148"/>
      <c r="DYZ69"/>
      <c r="DZA69" s="140"/>
      <c r="DZB69" s="149"/>
      <c r="DZC69"/>
      <c r="DZD69" s="142"/>
      <c r="DZE69" s="143"/>
      <c r="DZF69" s="144"/>
      <c r="DZG69" s="144"/>
      <c r="DZH69" s="143"/>
      <c r="DZI69" s="145"/>
      <c r="DZJ69" s="143"/>
      <c r="DZK69" s="145"/>
      <c r="DZL69" s="146"/>
      <c r="DZM69" s="147"/>
      <c r="DZN69"/>
      <c r="DZO69" s="148"/>
      <c r="DZP69"/>
      <c r="DZQ69" s="140"/>
      <c r="DZR69" s="149"/>
      <c r="DZS69"/>
      <c r="DZT69" s="142"/>
      <c r="DZU69" s="143"/>
      <c r="DZV69" s="144"/>
      <c r="DZW69" s="144"/>
      <c r="DZX69" s="143"/>
      <c r="DZY69" s="145"/>
      <c r="DZZ69" s="143"/>
      <c r="EAA69" s="145"/>
      <c r="EAB69" s="146"/>
      <c r="EAC69" s="147"/>
      <c r="EAD69"/>
      <c r="EAE69" s="148"/>
      <c r="EAF69"/>
      <c r="EAG69" s="140"/>
      <c r="EAH69" s="149"/>
      <c r="EAI69"/>
      <c r="EAJ69" s="142"/>
      <c r="EAK69" s="143"/>
      <c r="EAL69" s="144"/>
      <c r="EAM69" s="144"/>
      <c r="EAN69" s="143"/>
      <c r="EAO69" s="145"/>
      <c r="EAP69" s="143"/>
      <c r="EAQ69" s="145"/>
      <c r="EAR69" s="146"/>
      <c r="EAS69" s="147"/>
      <c r="EAT69"/>
      <c r="EAU69" s="148"/>
      <c r="EAV69"/>
      <c r="EAW69" s="140"/>
      <c r="EAX69" s="149"/>
      <c r="EAY69"/>
      <c r="EAZ69" s="142"/>
      <c r="EBA69" s="143"/>
      <c r="EBB69" s="144"/>
      <c r="EBC69" s="144"/>
      <c r="EBD69" s="143"/>
      <c r="EBE69" s="145"/>
      <c r="EBF69" s="143"/>
      <c r="EBG69" s="145"/>
      <c r="EBH69" s="146"/>
      <c r="EBI69" s="147"/>
      <c r="EBJ69"/>
      <c r="EBK69" s="148"/>
      <c r="EBL69"/>
      <c r="EBM69" s="140"/>
      <c r="EBN69" s="149"/>
      <c r="EBO69"/>
      <c r="EBP69" s="142"/>
      <c r="EBQ69" s="143"/>
      <c r="EBR69" s="144"/>
      <c r="EBS69" s="144"/>
      <c r="EBT69" s="143"/>
      <c r="EBU69" s="145"/>
      <c r="EBV69" s="143"/>
      <c r="EBW69" s="145"/>
      <c r="EBX69" s="146"/>
      <c r="EBY69" s="147"/>
      <c r="EBZ69"/>
      <c r="ECA69" s="148"/>
      <c r="ECB69"/>
      <c r="ECC69" s="140"/>
      <c r="ECD69" s="149"/>
      <c r="ECE69"/>
      <c r="ECF69" s="142"/>
      <c r="ECG69" s="143"/>
      <c r="ECH69" s="144"/>
      <c r="ECI69" s="144"/>
      <c r="ECJ69" s="143"/>
      <c r="ECK69" s="145"/>
      <c r="ECL69" s="143"/>
      <c r="ECM69" s="145"/>
      <c r="ECN69" s="146"/>
      <c r="ECO69" s="147"/>
      <c r="ECP69"/>
      <c r="ECQ69" s="148"/>
      <c r="ECR69"/>
      <c r="ECS69" s="140"/>
      <c r="ECT69" s="149"/>
      <c r="ECU69"/>
      <c r="ECV69" s="142"/>
      <c r="ECW69" s="143"/>
      <c r="ECX69" s="144"/>
      <c r="ECY69" s="144"/>
      <c r="ECZ69" s="143"/>
      <c r="EDA69" s="145"/>
      <c r="EDB69" s="143"/>
      <c r="EDC69" s="145"/>
      <c r="EDD69" s="146"/>
      <c r="EDE69" s="147"/>
      <c r="EDF69"/>
      <c r="EDG69" s="148"/>
      <c r="EDH69"/>
      <c r="EDI69" s="140"/>
      <c r="EDJ69" s="149"/>
      <c r="EDK69"/>
      <c r="EDL69" s="142"/>
      <c r="EDM69" s="143"/>
      <c r="EDN69" s="144"/>
      <c r="EDO69" s="144"/>
      <c r="EDP69" s="143"/>
      <c r="EDQ69" s="145"/>
      <c r="EDR69" s="143"/>
      <c r="EDS69" s="145"/>
      <c r="EDT69" s="146"/>
      <c r="EDU69" s="147"/>
      <c r="EDV69"/>
      <c r="EDW69" s="148"/>
      <c r="EDX69"/>
      <c r="EDY69" s="140"/>
      <c r="EDZ69" s="149"/>
      <c r="EEA69"/>
      <c r="EEB69" s="142"/>
      <c r="EEC69" s="143"/>
      <c r="EED69" s="144"/>
      <c r="EEE69" s="144"/>
      <c r="EEF69" s="143"/>
      <c r="EEG69" s="145"/>
      <c r="EEH69" s="143"/>
      <c r="EEI69" s="145"/>
      <c r="EEJ69" s="146"/>
      <c r="EEK69" s="147"/>
      <c r="EEL69"/>
      <c r="EEM69" s="148"/>
      <c r="EEN69"/>
      <c r="EEO69" s="140"/>
      <c r="EEP69" s="149"/>
      <c r="EEQ69"/>
      <c r="EER69" s="142"/>
      <c r="EES69" s="143"/>
      <c r="EET69" s="144"/>
      <c r="EEU69" s="144"/>
      <c r="EEV69" s="143"/>
      <c r="EEW69" s="145"/>
      <c r="EEX69" s="143"/>
      <c r="EEY69" s="145"/>
      <c r="EEZ69" s="146"/>
      <c r="EFA69" s="147"/>
      <c r="EFB69"/>
      <c r="EFC69" s="148"/>
      <c r="EFD69"/>
      <c r="EFE69" s="140"/>
      <c r="EFF69" s="149"/>
      <c r="EFG69"/>
      <c r="EFH69" s="142"/>
      <c r="EFI69" s="143"/>
      <c r="EFJ69" s="144"/>
      <c r="EFK69" s="144"/>
      <c r="EFL69" s="143"/>
      <c r="EFM69" s="145"/>
      <c r="EFN69" s="143"/>
      <c r="EFO69" s="145"/>
      <c r="EFP69" s="146"/>
      <c r="EFQ69" s="147"/>
      <c r="EFR69"/>
      <c r="EFS69" s="148"/>
      <c r="EFT69"/>
      <c r="EFU69" s="140"/>
      <c r="EFV69" s="149"/>
      <c r="EFW69"/>
      <c r="EFX69" s="142"/>
      <c r="EFY69" s="143"/>
      <c r="EFZ69" s="144"/>
      <c r="EGA69" s="144"/>
      <c r="EGB69" s="143"/>
      <c r="EGC69" s="145"/>
      <c r="EGD69" s="143"/>
      <c r="EGE69" s="145"/>
      <c r="EGF69" s="146"/>
      <c r="EGG69" s="147"/>
      <c r="EGH69"/>
      <c r="EGI69" s="148"/>
      <c r="EGJ69"/>
      <c r="EGK69" s="140"/>
      <c r="EGL69" s="149"/>
      <c r="EGM69"/>
      <c r="EGN69" s="142"/>
      <c r="EGO69" s="143"/>
      <c r="EGP69" s="144"/>
      <c r="EGQ69" s="144"/>
      <c r="EGR69" s="143"/>
      <c r="EGS69" s="145"/>
      <c r="EGT69" s="143"/>
      <c r="EGU69" s="145"/>
      <c r="EGV69" s="146"/>
      <c r="EGW69" s="147"/>
      <c r="EGX69"/>
      <c r="EGY69" s="148"/>
      <c r="EGZ69"/>
      <c r="EHA69" s="140"/>
      <c r="EHB69" s="149"/>
      <c r="EHC69"/>
      <c r="EHD69" s="142"/>
      <c r="EHE69" s="143"/>
      <c r="EHF69" s="144"/>
      <c r="EHG69" s="144"/>
      <c r="EHH69" s="143"/>
      <c r="EHI69" s="145"/>
      <c r="EHJ69" s="143"/>
      <c r="EHK69" s="145"/>
      <c r="EHL69" s="146"/>
      <c r="EHM69" s="147"/>
      <c r="EHN69"/>
      <c r="EHO69" s="148"/>
      <c r="EHP69"/>
      <c r="EHQ69" s="140"/>
      <c r="EHR69" s="149"/>
      <c r="EHS69"/>
      <c r="EHT69" s="142"/>
      <c r="EHU69" s="143"/>
      <c r="EHV69" s="144"/>
      <c r="EHW69" s="144"/>
      <c r="EHX69" s="143"/>
      <c r="EHY69" s="145"/>
      <c r="EHZ69" s="143"/>
      <c r="EIA69" s="145"/>
      <c r="EIB69" s="146"/>
      <c r="EIC69" s="147"/>
      <c r="EID69"/>
      <c r="EIE69" s="148"/>
      <c r="EIF69"/>
      <c r="EIG69" s="140"/>
      <c r="EIH69" s="149"/>
      <c r="EII69"/>
      <c r="EIJ69" s="142"/>
      <c r="EIK69" s="143"/>
      <c r="EIL69" s="144"/>
      <c r="EIM69" s="144"/>
      <c r="EIN69" s="143"/>
      <c r="EIO69" s="145"/>
      <c r="EIP69" s="143"/>
      <c r="EIQ69" s="145"/>
      <c r="EIR69" s="146"/>
      <c r="EIS69" s="147"/>
      <c r="EIT69"/>
      <c r="EIU69" s="148"/>
      <c r="EIV69"/>
      <c r="EIW69" s="140"/>
      <c r="EIX69" s="149"/>
      <c r="EIY69"/>
      <c r="EIZ69" s="142"/>
      <c r="EJA69" s="143"/>
      <c r="EJB69" s="144"/>
      <c r="EJC69" s="144"/>
      <c r="EJD69" s="143"/>
      <c r="EJE69" s="145"/>
      <c r="EJF69" s="143"/>
      <c r="EJG69" s="145"/>
      <c r="EJH69" s="146"/>
      <c r="EJI69" s="147"/>
      <c r="EJJ69"/>
      <c r="EJK69" s="148"/>
      <c r="EJL69"/>
      <c r="EJM69" s="140"/>
      <c r="EJN69" s="149"/>
      <c r="EJO69"/>
      <c r="EJP69" s="142"/>
      <c r="EJQ69" s="143"/>
      <c r="EJR69" s="144"/>
      <c r="EJS69" s="144"/>
      <c r="EJT69" s="143"/>
      <c r="EJU69" s="145"/>
      <c r="EJV69" s="143"/>
      <c r="EJW69" s="145"/>
      <c r="EJX69" s="146"/>
      <c r="EJY69" s="147"/>
      <c r="EJZ69"/>
      <c r="EKA69" s="148"/>
      <c r="EKB69"/>
      <c r="EKC69" s="140"/>
      <c r="EKD69" s="149"/>
      <c r="EKE69"/>
      <c r="EKF69" s="142"/>
      <c r="EKG69" s="143"/>
      <c r="EKH69" s="144"/>
      <c r="EKI69" s="144"/>
      <c r="EKJ69" s="143"/>
      <c r="EKK69" s="145"/>
      <c r="EKL69" s="143"/>
      <c r="EKM69" s="145"/>
      <c r="EKN69" s="146"/>
      <c r="EKO69" s="147"/>
      <c r="EKP69"/>
      <c r="EKQ69" s="148"/>
      <c r="EKR69"/>
      <c r="EKS69" s="140"/>
      <c r="EKT69" s="149"/>
      <c r="EKU69"/>
      <c r="EKV69" s="142"/>
      <c r="EKW69" s="143"/>
      <c r="EKX69" s="144"/>
      <c r="EKY69" s="144"/>
      <c r="EKZ69" s="143"/>
      <c r="ELA69" s="145"/>
      <c r="ELB69" s="143"/>
      <c r="ELC69" s="145"/>
      <c r="ELD69" s="146"/>
      <c r="ELE69" s="147"/>
      <c r="ELF69"/>
      <c r="ELG69" s="148"/>
      <c r="ELH69"/>
      <c r="ELI69" s="140"/>
      <c r="ELJ69" s="149"/>
      <c r="ELK69"/>
      <c r="ELL69" s="142"/>
      <c r="ELM69" s="143"/>
      <c r="ELN69" s="144"/>
      <c r="ELO69" s="144"/>
      <c r="ELP69" s="143"/>
      <c r="ELQ69" s="145"/>
      <c r="ELR69" s="143"/>
      <c r="ELS69" s="145"/>
      <c r="ELT69" s="146"/>
      <c r="ELU69" s="147"/>
      <c r="ELV69"/>
      <c r="ELW69" s="148"/>
      <c r="ELX69"/>
      <c r="ELY69" s="140"/>
      <c r="ELZ69" s="149"/>
      <c r="EMA69"/>
      <c r="EMB69" s="142"/>
      <c r="EMC69" s="143"/>
      <c r="EMD69" s="144"/>
      <c r="EME69" s="144"/>
      <c r="EMF69" s="143"/>
      <c r="EMG69" s="145"/>
      <c r="EMH69" s="143"/>
      <c r="EMI69" s="145"/>
      <c r="EMJ69" s="146"/>
      <c r="EMK69" s="147"/>
      <c r="EML69"/>
      <c r="EMM69" s="148"/>
      <c r="EMN69"/>
      <c r="EMO69" s="140"/>
      <c r="EMP69" s="149"/>
      <c r="EMQ69"/>
      <c r="EMR69" s="142"/>
      <c r="EMS69" s="143"/>
      <c r="EMT69" s="144"/>
      <c r="EMU69" s="144"/>
      <c r="EMV69" s="143"/>
      <c r="EMW69" s="145"/>
      <c r="EMX69" s="143"/>
      <c r="EMY69" s="145"/>
      <c r="EMZ69" s="146"/>
      <c r="ENA69" s="147"/>
      <c r="ENB69"/>
      <c r="ENC69" s="148"/>
      <c r="END69"/>
      <c r="ENE69" s="140"/>
      <c r="ENF69" s="149"/>
      <c r="ENG69"/>
      <c r="ENH69" s="142"/>
      <c r="ENI69" s="143"/>
      <c r="ENJ69" s="144"/>
      <c r="ENK69" s="144"/>
      <c r="ENL69" s="143"/>
      <c r="ENM69" s="145"/>
      <c r="ENN69" s="143"/>
      <c r="ENO69" s="145"/>
      <c r="ENP69" s="146"/>
      <c r="ENQ69" s="147"/>
      <c r="ENR69"/>
      <c r="ENS69" s="148"/>
      <c r="ENT69"/>
      <c r="ENU69" s="140"/>
      <c r="ENV69" s="149"/>
      <c r="ENW69"/>
      <c r="ENX69" s="142"/>
      <c r="ENY69" s="143"/>
      <c r="ENZ69" s="144"/>
      <c r="EOA69" s="144"/>
      <c r="EOB69" s="143"/>
      <c r="EOC69" s="145"/>
      <c r="EOD69" s="143"/>
      <c r="EOE69" s="145"/>
      <c r="EOF69" s="146"/>
      <c r="EOG69" s="147"/>
      <c r="EOH69"/>
      <c r="EOI69" s="148"/>
      <c r="EOJ69"/>
      <c r="EOK69" s="140"/>
      <c r="EOL69" s="149"/>
      <c r="EOM69"/>
      <c r="EON69" s="142"/>
      <c r="EOO69" s="143"/>
      <c r="EOP69" s="144"/>
      <c r="EOQ69" s="144"/>
      <c r="EOR69" s="143"/>
      <c r="EOS69" s="145"/>
      <c r="EOT69" s="143"/>
      <c r="EOU69" s="145"/>
      <c r="EOV69" s="146"/>
      <c r="EOW69" s="147"/>
      <c r="EOX69"/>
      <c r="EOY69" s="148"/>
      <c r="EOZ69"/>
      <c r="EPA69" s="140"/>
      <c r="EPB69" s="149"/>
      <c r="EPC69"/>
      <c r="EPD69" s="142"/>
      <c r="EPE69" s="143"/>
      <c r="EPF69" s="144"/>
      <c r="EPG69" s="144"/>
      <c r="EPH69" s="143"/>
      <c r="EPI69" s="145"/>
      <c r="EPJ69" s="143"/>
      <c r="EPK69" s="145"/>
      <c r="EPL69" s="146"/>
      <c r="EPM69" s="147"/>
      <c r="EPN69"/>
      <c r="EPO69" s="148"/>
      <c r="EPP69"/>
      <c r="EPQ69" s="140"/>
      <c r="EPR69" s="149"/>
      <c r="EPS69"/>
      <c r="EPT69" s="142"/>
      <c r="EPU69" s="143"/>
      <c r="EPV69" s="144"/>
      <c r="EPW69" s="144"/>
      <c r="EPX69" s="143"/>
      <c r="EPY69" s="145"/>
      <c r="EPZ69" s="143"/>
      <c r="EQA69" s="145"/>
      <c r="EQB69" s="146"/>
      <c r="EQC69" s="147"/>
      <c r="EQD69"/>
      <c r="EQE69" s="148"/>
      <c r="EQF69"/>
      <c r="EQG69" s="140"/>
      <c r="EQH69" s="149"/>
      <c r="EQI69"/>
      <c r="EQJ69" s="142"/>
      <c r="EQK69" s="143"/>
      <c r="EQL69" s="144"/>
      <c r="EQM69" s="144"/>
      <c r="EQN69" s="143"/>
      <c r="EQO69" s="145"/>
      <c r="EQP69" s="143"/>
      <c r="EQQ69" s="145"/>
      <c r="EQR69" s="146"/>
      <c r="EQS69" s="147"/>
      <c r="EQT69"/>
      <c r="EQU69" s="148"/>
      <c r="EQV69"/>
      <c r="EQW69" s="140"/>
      <c r="EQX69" s="149"/>
      <c r="EQY69"/>
      <c r="EQZ69" s="142"/>
      <c r="ERA69" s="143"/>
      <c r="ERB69" s="144"/>
      <c r="ERC69" s="144"/>
      <c r="ERD69" s="143"/>
      <c r="ERE69" s="145"/>
      <c r="ERF69" s="143"/>
      <c r="ERG69" s="145"/>
      <c r="ERH69" s="146"/>
      <c r="ERI69" s="147"/>
      <c r="ERJ69"/>
      <c r="ERK69" s="148"/>
      <c r="ERL69"/>
      <c r="ERM69" s="140"/>
      <c r="ERN69" s="149"/>
      <c r="ERO69"/>
      <c r="ERP69" s="142"/>
      <c r="ERQ69" s="143"/>
      <c r="ERR69" s="144"/>
      <c r="ERS69" s="144"/>
      <c r="ERT69" s="143"/>
      <c r="ERU69" s="145"/>
      <c r="ERV69" s="143"/>
      <c r="ERW69" s="145"/>
      <c r="ERX69" s="146"/>
      <c r="ERY69" s="147"/>
      <c r="ERZ69"/>
      <c r="ESA69" s="148"/>
      <c r="ESB69"/>
      <c r="ESC69" s="140"/>
      <c r="ESD69" s="149"/>
      <c r="ESE69"/>
      <c r="ESF69" s="142"/>
      <c r="ESG69" s="143"/>
      <c r="ESH69" s="144"/>
      <c r="ESI69" s="144"/>
      <c r="ESJ69" s="143"/>
      <c r="ESK69" s="145"/>
      <c r="ESL69" s="143"/>
      <c r="ESM69" s="145"/>
      <c r="ESN69" s="146"/>
      <c r="ESO69" s="147"/>
      <c r="ESP69"/>
      <c r="ESQ69" s="148"/>
      <c r="ESR69"/>
      <c r="ESS69" s="140"/>
      <c r="EST69" s="149"/>
      <c r="ESU69"/>
      <c r="ESV69" s="142"/>
      <c r="ESW69" s="143"/>
      <c r="ESX69" s="144"/>
      <c r="ESY69" s="144"/>
      <c r="ESZ69" s="143"/>
      <c r="ETA69" s="145"/>
      <c r="ETB69" s="143"/>
      <c r="ETC69" s="145"/>
      <c r="ETD69" s="146"/>
      <c r="ETE69" s="147"/>
      <c r="ETF69"/>
      <c r="ETG69" s="148"/>
      <c r="ETH69"/>
      <c r="ETI69" s="140"/>
      <c r="ETJ69" s="149"/>
      <c r="ETK69"/>
      <c r="ETL69" s="142"/>
      <c r="ETM69" s="143"/>
      <c r="ETN69" s="144"/>
      <c r="ETO69" s="144"/>
      <c r="ETP69" s="143"/>
      <c r="ETQ69" s="145"/>
      <c r="ETR69" s="143"/>
      <c r="ETS69" s="145"/>
      <c r="ETT69" s="146"/>
      <c r="ETU69" s="147"/>
      <c r="ETV69"/>
      <c r="ETW69" s="148"/>
      <c r="ETX69"/>
      <c r="ETY69" s="140"/>
      <c r="ETZ69" s="149"/>
      <c r="EUA69"/>
      <c r="EUB69" s="142"/>
      <c r="EUC69" s="143"/>
      <c r="EUD69" s="144"/>
      <c r="EUE69" s="144"/>
      <c r="EUF69" s="143"/>
      <c r="EUG69" s="145"/>
      <c r="EUH69" s="143"/>
      <c r="EUI69" s="145"/>
      <c r="EUJ69" s="146"/>
      <c r="EUK69" s="147"/>
      <c r="EUL69"/>
      <c r="EUM69" s="148"/>
      <c r="EUN69"/>
      <c r="EUO69" s="140"/>
      <c r="EUP69" s="149"/>
      <c r="EUQ69"/>
      <c r="EUR69" s="142"/>
      <c r="EUS69" s="143"/>
      <c r="EUT69" s="144"/>
      <c r="EUU69" s="144"/>
      <c r="EUV69" s="143"/>
      <c r="EUW69" s="145"/>
      <c r="EUX69" s="143"/>
      <c r="EUY69" s="145"/>
      <c r="EUZ69" s="146"/>
      <c r="EVA69" s="147"/>
      <c r="EVB69"/>
      <c r="EVC69" s="148"/>
      <c r="EVD69"/>
      <c r="EVE69" s="140"/>
      <c r="EVF69" s="149"/>
      <c r="EVG69"/>
      <c r="EVH69" s="142"/>
      <c r="EVI69" s="143"/>
      <c r="EVJ69" s="144"/>
      <c r="EVK69" s="144"/>
      <c r="EVL69" s="143"/>
      <c r="EVM69" s="145"/>
      <c r="EVN69" s="143"/>
      <c r="EVO69" s="145"/>
      <c r="EVP69" s="146"/>
      <c r="EVQ69" s="147"/>
      <c r="EVR69"/>
      <c r="EVS69" s="148"/>
      <c r="EVT69"/>
      <c r="EVU69" s="140"/>
      <c r="EVV69" s="149"/>
      <c r="EVW69"/>
      <c r="EVX69" s="142"/>
      <c r="EVY69" s="143"/>
      <c r="EVZ69" s="144"/>
      <c r="EWA69" s="144"/>
      <c r="EWB69" s="143"/>
      <c r="EWC69" s="145"/>
      <c r="EWD69" s="143"/>
      <c r="EWE69" s="145"/>
      <c r="EWF69" s="146"/>
      <c r="EWG69" s="147"/>
      <c r="EWH69"/>
      <c r="EWI69" s="148"/>
      <c r="EWJ69"/>
      <c r="EWK69" s="140"/>
      <c r="EWL69" s="149"/>
      <c r="EWM69"/>
      <c r="EWN69" s="142"/>
      <c r="EWO69" s="143"/>
      <c r="EWP69" s="144"/>
      <c r="EWQ69" s="144"/>
      <c r="EWR69" s="143"/>
      <c r="EWS69" s="145"/>
      <c r="EWT69" s="143"/>
      <c r="EWU69" s="145"/>
      <c r="EWV69" s="146"/>
      <c r="EWW69" s="147"/>
      <c r="EWX69"/>
      <c r="EWY69" s="148"/>
      <c r="EWZ69"/>
      <c r="EXA69" s="140"/>
      <c r="EXB69" s="149"/>
      <c r="EXC69"/>
      <c r="EXD69" s="142"/>
      <c r="EXE69" s="143"/>
      <c r="EXF69" s="144"/>
      <c r="EXG69" s="144"/>
      <c r="EXH69" s="143"/>
      <c r="EXI69" s="145"/>
      <c r="EXJ69" s="143"/>
      <c r="EXK69" s="145"/>
      <c r="EXL69" s="146"/>
      <c r="EXM69" s="147"/>
      <c r="EXN69"/>
      <c r="EXO69" s="148"/>
      <c r="EXP69"/>
      <c r="EXQ69" s="140"/>
      <c r="EXR69" s="149"/>
      <c r="EXS69"/>
      <c r="EXT69" s="142"/>
      <c r="EXU69" s="143"/>
      <c r="EXV69" s="144"/>
      <c r="EXW69" s="144"/>
      <c r="EXX69" s="143"/>
      <c r="EXY69" s="145"/>
      <c r="EXZ69" s="143"/>
      <c r="EYA69" s="145"/>
      <c r="EYB69" s="146"/>
      <c r="EYC69" s="147"/>
      <c r="EYD69"/>
      <c r="EYE69" s="148"/>
      <c r="EYF69"/>
      <c r="EYG69" s="140"/>
      <c r="EYH69" s="149"/>
      <c r="EYI69"/>
      <c r="EYJ69" s="142"/>
      <c r="EYK69" s="143"/>
      <c r="EYL69" s="144"/>
      <c r="EYM69" s="144"/>
      <c r="EYN69" s="143"/>
      <c r="EYO69" s="145"/>
      <c r="EYP69" s="143"/>
      <c r="EYQ69" s="145"/>
      <c r="EYR69" s="146"/>
      <c r="EYS69" s="147"/>
      <c r="EYT69"/>
      <c r="EYU69" s="148"/>
      <c r="EYV69"/>
      <c r="EYW69" s="140"/>
      <c r="EYX69" s="149"/>
      <c r="EYY69"/>
      <c r="EYZ69" s="142"/>
      <c r="EZA69" s="143"/>
      <c r="EZB69" s="144"/>
      <c r="EZC69" s="144"/>
      <c r="EZD69" s="143"/>
      <c r="EZE69" s="145"/>
      <c r="EZF69" s="143"/>
      <c r="EZG69" s="145"/>
      <c r="EZH69" s="146"/>
      <c r="EZI69" s="147"/>
      <c r="EZJ69"/>
      <c r="EZK69" s="148"/>
      <c r="EZL69"/>
      <c r="EZM69" s="140"/>
      <c r="EZN69" s="149"/>
      <c r="EZO69"/>
      <c r="EZP69" s="142"/>
      <c r="EZQ69" s="143"/>
      <c r="EZR69" s="144"/>
      <c r="EZS69" s="144"/>
      <c r="EZT69" s="143"/>
      <c r="EZU69" s="145"/>
      <c r="EZV69" s="143"/>
      <c r="EZW69" s="145"/>
      <c r="EZX69" s="146"/>
      <c r="EZY69" s="147"/>
      <c r="EZZ69"/>
      <c r="FAA69" s="148"/>
      <c r="FAB69"/>
      <c r="FAC69" s="140"/>
      <c r="FAD69" s="149"/>
      <c r="FAE69"/>
      <c r="FAF69" s="142"/>
      <c r="FAG69" s="143"/>
      <c r="FAH69" s="144"/>
      <c r="FAI69" s="144"/>
      <c r="FAJ69" s="143"/>
      <c r="FAK69" s="145"/>
      <c r="FAL69" s="143"/>
      <c r="FAM69" s="145"/>
      <c r="FAN69" s="146"/>
      <c r="FAO69" s="147"/>
      <c r="FAP69"/>
      <c r="FAQ69" s="148"/>
      <c r="FAR69"/>
      <c r="FAS69" s="140"/>
      <c r="FAT69" s="149"/>
      <c r="FAU69"/>
      <c r="FAV69" s="142"/>
      <c r="FAW69" s="143"/>
      <c r="FAX69" s="144"/>
      <c r="FAY69" s="144"/>
      <c r="FAZ69" s="143"/>
      <c r="FBA69" s="145"/>
      <c r="FBB69" s="143"/>
      <c r="FBC69" s="145"/>
      <c r="FBD69" s="146"/>
      <c r="FBE69" s="147"/>
      <c r="FBF69"/>
      <c r="FBG69" s="148"/>
      <c r="FBH69"/>
      <c r="FBI69" s="140"/>
      <c r="FBJ69" s="149"/>
      <c r="FBK69"/>
      <c r="FBL69" s="142"/>
      <c r="FBM69" s="143"/>
      <c r="FBN69" s="144"/>
      <c r="FBO69" s="144"/>
      <c r="FBP69" s="143"/>
      <c r="FBQ69" s="145"/>
      <c r="FBR69" s="143"/>
      <c r="FBS69" s="145"/>
      <c r="FBT69" s="146"/>
      <c r="FBU69" s="147"/>
      <c r="FBV69"/>
      <c r="FBW69" s="148"/>
      <c r="FBX69"/>
      <c r="FBY69" s="140"/>
      <c r="FBZ69" s="149"/>
      <c r="FCA69"/>
      <c r="FCB69" s="142"/>
      <c r="FCC69" s="143"/>
      <c r="FCD69" s="144"/>
      <c r="FCE69" s="144"/>
      <c r="FCF69" s="143"/>
      <c r="FCG69" s="145"/>
      <c r="FCH69" s="143"/>
      <c r="FCI69" s="145"/>
      <c r="FCJ69" s="146"/>
      <c r="FCK69" s="147"/>
      <c r="FCL69"/>
      <c r="FCM69" s="148"/>
      <c r="FCN69"/>
      <c r="FCO69" s="140"/>
      <c r="FCP69" s="149"/>
      <c r="FCQ69"/>
      <c r="FCR69" s="142"/>
      <c r="FCS69" s="143"/>
      <c r="FCT69" s="144"/>
      <c r="FCU69" s="144"/>
      <c r="FCV69" s="143"/>
      <c r="FCW69" s="145"/>
      <c r="FCX69" s="143"/>
      <c r="FCY69" s="145"/>
      <c r="FCZ69" s="146"/>
      <c r="FDA69" s="147"/>
      <c r="FDB69"/>
      <c r="FDC69" s="148"/>
      <c r="FDD69"/>
      <c r="FDE69" s="140"/>
      <c r="FDF69" s="149"/>
      <c r="FDG69"/>
      <c r="FDH69" s="142"/>
      <c r="FDI69" s="143"/>
      <c r="FDJ69" s="144"/>
      <c r="FDK69" s="144"/>
      <c r="FDL69" s="143"/>
      <c r="FDM69" s="145"/>
      <c r="FDN69" s="143"/>
      <c r="FDO69" s="145"/>
      <c r="FDP69" s="146"/>
      <c r="FDQ69" s="147"/>
      <c r="FDR69"/>
      <c r="FDS69" s="148"/>
      <c r="FDT69"/>
      <c r="FDU69" s="140"/>
      <c r="FDV69" s="149"/>
      <c r="FDW69"/>
      <c r="FDX69" s="142"/>
      <c r="FDY69" s="143"/>
      <c r="FDZ69" s="144"/>
      <c r="FEA69" s="144"/>
      <c r="FEB69" s="143"/>
      <c r="FEC69" s="145"/>
      <c r="FED69" s="143"/>
      <c r="FEE69" s="145"/>
      <c r="FEF69" s="146"/>
      <c r="FEG69" s="147"/>
      <c r="FEH69"/>
      <c r="FEI69" s="148"/>
      <c r="FEJ69"/>
      <c r="FEK69" s="140"/>
      <c r="FEL69" s="149"/>
      <c r="FEM69"/>
      <c r="FEN69" s="142"/>
      <c r="FEO69" s="143"/>
      <c r="FEP69" s="144"/>
      <c r="FEQ69" s="144"/>
      <c r="FER69" s="143"/>
      <c r="FES69" s="145"/>
      <c r="FET69" s="143"/>
      <c r="FEU69" s="145"/>
      <c r="FEV69" s="146"/>
      <c r="FEW69" s="147"/>
      <c r="FEX69"/>
      <c r="FEY69" s="148"/>
      <c r="FEZ69"/>
      <c r="FFA69" s="140"/>
      <c r="FFB69" s="149"/>
      <c r="FFC69"/>
      <c r="FFD69" s="142"/>
      <c r="FFE69" s="143"/>
      <c r="FFF69" s="144"/>
      <c r="FFG69" s="144"/>
      <c r="FFH69" s="143"/>
      <c r="FFI69" s="145"/>
      <c r="FFJ69" s="143"/>
      <c r="FFK69" s="145"/>
      <c r="FFL69" s="146"/>
      <c r="FFM69" s="147"/>
      <c r="FFN69"/>
      <c r="FFO69" s="148"/>
      <c r="FFP69"/>
      <c r="FFQ69" s="140"/>
      <c r="FFR69" s="149"/>
      <c r="FFS69"/>
      <c r="FFT69" s="142"/>
      <c r="FFU69" s="143"/>
      <c r="FFV69" s="144"/>
      <c r="FFW69" s="144"/>
      <c r="FFX69" s="143"/>
      <c r="FFY69" s="145"/>
      <c r="FFZ69" s="143"/>
      <c r="FGA69" s="145"/>
      <c r="FGB69" s="146"/>
      <c r="FGC69" s="147"/>
      <c r="FGD69"/>
      <c r="FGE69" s="148"/>
      <c r="FGF69"/>
      <c r="FGG69" s="140"/>
      <c r="FGH69" s="149"/>
      <c r="FGI69"/>
      <c r="FGJ69" s="142"/>
      <c r="FGK69" s="143"/>
      <c r="FGL69" s="144"/>
      <c r="FGM69" s="144"/>
      <c r="FGN69" s="143"/>
      <c r="FGO69" s="145"/>
      <c r="FGP69" s="143"/>
      <c r="FGQ69" s="145"/>
      <c r="FGR69" s="146"/>
      <c r="FGS69" s="147"/>
      <c r="FGT69"/>
      <c r="FGU69" s="148"/>
      <c r="FGV69"/>
      <c r="FGW69" s="140"/>
      <c r="FGX69" s="149"/>
      <c r="FGY69"/>
      <c r="FGZ69" s="142"/>
      <c r="FHA69" s="143"/>
      <c r="FHB69" s="144"/>
      <c r="FHC69" s="144"/>
      <c r="FHD69" s="143"/>
      <c r="FHE69" s="145"/>
      <c r="FHF69" s="143"/>
      <c r="FHG69" s="145"/>
      <c r="FHH69" s="146"/>
      <c r="FHI69" s="147"/>
      <c r="FHJ69"/>
      <c r="FHK69" s="148"/>
      <c r="FHL69"/>
      <c r="FHM69" s="140"/>
      <c r="FHN69" s="149"/>
      <c r="FHO69"/>
      <c r="FHP69" s="142"/>
      <c r="FHQ69" s="143"/>
      <c r="FHR69" s="144"/>
      <c r="FHS69" s="144"/>
      <c r="FHT69" s="143"/>
      <c r="FHU69" s="145"/>
      <c r="FHV69" s="143"/>
      <c r="FHW69" s="145"/>
      <c r="FHX69" s="146"/>
      <c r="FHY69" s="147"/>
      <c r="FHZ69"/>
      <c r="FIA69" s="148"/>
      <c r="FIB69"/>
      <c r="FIC69" s="140"/>
      <c r="FID69" s="149"/>
      <c r="FIE69"/>
      <c r="FIF69" s="142"/>
      <c r="FIG69" s="143"/>
      <c r="FIH69" s="144"/>
      <c r="FII69" s="144"/>
      <c r="FIJ69" s="143"/>
      <c r="FIK69" s="145"/>
      <c r="FIL69" s="143"/>
      <c r="FIM69" s="145"/>
      <c r="FIN69" s="146"/>
      <c r="FIO69" s="147"/>
      <c r="FIP69"/>
      <c r="FIQ69" s="148"/>
      <c r="FIR69"/>
      <c r="FIS69" s="140"/>
      <c r="FIT69" s="149"/>
      <c r="FIU69"/>
      <c r="FIV69" s="142"/>
      <c r="FIW69" s="143"/>
      <c r="FIX69" s="144"/>
      <c r="FIY69" s="144"/>
      <c r="FIZ69" s="143"/>
      <c r="FJA69" s="145"/>
      <c r="FJB69" s="143"/>
      <c r="FJC69" s="145"/>
      <c r="FJD69" s="146"/>
      <c r="FJE69" s="147"/>
      <c r="FJF69"/>
      <c r="FJG69" s="148"/>
      <c r="FJH69"/>
      <c r="FJI69" s="140"/>
      <c r="FJJ69" s="149"/>
      <c r="FJK69"/>
      <c r="FJL69" s="142"/>
      <c r="FJM69" s="143"/>
      <c r="FJN69" s="144"/>
      <c r="FJO69" s="144"/>
      <c r="FJP69" s="143"/>
      <c r="FJQ69" s="145"/>
      <c r="FJR69" s="143"/>
      <c r="FJS69" s="145"/>
      <c r="FJT69" s="146"/>
      <c r="FJU69" s="147"/>
      <c r="FJV69"/>
      <c r="FJW69" s="148"/>
      <c r="FJX69"/>
      <c r="FJY69" s="140"/>
      <c r="FJZ69" s="149"/>
      <c r="FKA69"/>
      <c r="FKB69" s="142"/>
      <c r="FKC69" s="143"/>
      <c r="FKD69" s="144"/>
      <c r="FKE69" s="144"/>
      <c r="FKF69" s="143"/>
      <c r="FKG69" s="145"/>
      <c r="FKH69" s="143"/>
      <c r="FKI69" s="145"/>
      <c r="FKJ69" s="146"/>
      <c r="FKK69" s="147"/>
      <c r="FKL69"/>
      <c r="FKM69" s="148"/>
      <c r="FKN69"/>
      <c r="FKO69" s="140"/>
      <c r="FKP69" s="149"/>
      <c r="FKQ69"/>
      <c r="FKR69" s="142"/>
      <c r="FKS69" s="143"/>
      <c r="FKT69" s="144"/>
      <c r="FKU69" s="144"/>
      <c r="FKV69" s="143"/>
      <c r="FKW69" s="145"/>
      <c r="FKX69" s="143"/>
      <c r="FKY69" s="145"/>
      <c r="FKZ69" s="146"/>
      <c r="FLA69" s="147"/>
      <c r="FLB69"/>
      <c r="FLC69" s="148"/>
      <c r="FLD69"/>
      <c r="FLE69" s="140"/>
      <c r="FLF69" s="149"/>
      <c r="FLG69"/>
      <c r="FLH69" s="142"/>
      <c r="FLI69" s="143"/>
      <c r="FLJ69" s="144"/>
      <c r="FLK69" s="144"/>
      <c r="FLL69" s="143"/>
      <c r="FLM69" s="145"/>
      <c r="FLN69" s="143"/>
      <c r="FLO69" s="145"/>
      <c r="FLP69" s="146"/>
      <c r="FLQ69" s="147"/>
      <c r="FLR69"/>
      <c r="FLS69" s="148"/>
      <c r="FLT69"/>
      <c r="FLU69" s="140"/>
      <c r="FLV69" s="149"/>
      <c r="FLW69"/>
      <c r="FLX69" s="142"/>
      <c r="FLY69" s="143"/>
      <c r="FLZ69" s="144"/>
      <c r="FMA69" s="144"/>
      <c r="FMB69" s="143"/>
      <c r="FMC69" s="145"/>
      <c r="FMD69" s="143"/>
      <c r="FME69" s="145"/>
      <c r="FMF69" s="146"/>
      <c r="FMG69" s="147"/>
      <c r="FMH69"/>
      <c r="FMI69" s="148"/>
      <c r="FMJ69"/>
      <c r="FMK69" s="140"/>
      <c r="FML69" s="149"/>
      <c r="FMM69"/>
      <c r="FMN69" s="142"/>
      <c r="FMO69" s="143"/>
      <c r="FMP69" s="144"/>
      <c r="FMQ69" s="144"/>
      <c r="FMR69" s="143"/>
      <c r="FMS69" s="145"/>
      <c r="FMT69" s="143"/>
      <c r="FMU69" s="145"/>
      <c r="FMV69" s="146"/>
      <c r="FMW69" s="147"/>
      <c r="FMX69"/>
      <c r="FMY69" s="148"/>
      <c r="FMZ69"/>
      <c r="FNA69" s="140"/>
      <c r="FNB69" s="149"/>
      <c r="FNC69"/>
      <c r="FND69" s="142"/>
      <c r="FNE69" s="143"/>
      <c r="FNF69" s="144"/>
      <c r="FNG69" s="144"/>
      <c r="FNH69" s="143"/>
      <c r="FNI69" s="145"/>
      <c r="FNJ69" s="143"/>
      <c r="FNK69" s="145"/>
      <c r="FNL69" s="146"/>
      <c r="FNM69" s="147"/>
      <c r="FNN69"/>
      <c r="FNO69" s="148"/>
      <c r="FNP69"/>
      <c r="FNQ69" s="140"/>
      <c r="FNR69" s="149"/>
      <c r="FNS69"/>
      <c r="FNT69" s="142"/>
      <c r="FNU69" s="143"/>
      <c r="FNV69" s="144"/>
      <c r="FNW69" s="144"/>
      <c r="FNX69" s="143"/>
      <c r="FNY69" s="145"/>
      <c r="FNZ69" s="143"/>
      <c r="FOA69" s="145"/>
      <c r="FOB69" s="146"/>
      <c r="FOC69" s="147"/>
      <c r="FOD69"/>
      <c r="FOE69" s="148"/>
      <c r="FOF69"/>
      <c r="FOG69" s="140"/>
      <c r="FOH69" s="149"/>
      <c r="FOI69"/>
      <c r="FOJ69" s="142"/>
      <c r="FOK69" s="143"/>
      <c r="FOL69" s="144"/>
      <c r="FOM69" s="144"/>
      <c r="FON69" s="143"/>
      <c r="FOO69" s="145"/>
      <c r="FOP69" s="143"/>
      <c r="FOQ69" s="145"/>
      <c r="FOR69" s="146"/>
      <c r="FOS69" s="147"/>
      <c r="FOT69"/>
      <c r="FOU69" s="148"/>
      <c r="FOV69"/>
      <c r="FOW69" s="140"/>
      <c r="FOX69" s="149"/>
      <c r="FOY69"/>
      <c r="FOZ69" s="142"/>
      <c r="FPA69" s="143"/>
      <c r="FPB69" s="144"/>
      <c r="FPC69" s="144"/>
      <c r="FPD69" s="143"/>
      <c r="FPE69" s="145"/>
      <c r="FPF69" s="143"/>
      <c r="FPG69" s="145"/>
      <c r="FPH69" s="146"/>
      <c r="FPI69" s="147"/>
      <c r="FPJ69"/>
      <c r="FPK69" s="148"/>
      <c r="FPL69"/>
      <c r="FPM69" s="140"/>
      <c r="FPN69" s="149"/>
      <c r="FPO69"/>
      <c r="FPP69" s="142"/>
      <c r="FPQ69" s="143"/>
      <c r="FPR69" s="144"/>
      <c r="FPS69" s="144"/>
      <c r="FPT69" s="143"/>
      <c r="FPU69" s="145"/>
      <c r="FPV69" s="143"/>
      <c r="FPW69" s="145"/>
      <c r="FPX69" s="146"/>
      <c r="FPY69" s="147"/>
      <c r="FPZ69"/>
      <c r="FQA69" s="148"/>
      <c r="FQB69"/>
      <c r="FQC69" s="140"/>
      <c r="FQD69" s="149"/>
      <c r="FQE69"/>
      <c r="FQF69" s="142"/>
      <c r="FQG69" s="143"/>
      <c r="FQH69" s="144"/>
      <c r="FQI69" s="144"/>
      <c r="FQJ69" s="143"/>
      <c r="FQK69" s="145"/>
      <c r="FQL69" s="143"/>
      <c r="FQM69" s="145"/>
      <c r="FQN69" s="146"/>
      <c r="FQO69" s="147"/>
      <c r="FQP69"/>
      <c r="FQQ69" s="148"/>
      <c r="FQR69"/>
      <c r="FQS69" s="140"/>
      <c r="FQT69" s="149"/>
      <c r="FQU69"/>
      <c r="FQV69" s="142"/>
      <c r="FQW69" s="143"/>
      <c r="FQX69" s="144"/>
      <c r="FQY69" s="144"/>
      <c r="FQZ69" s="143"/>
      <c r="FRA69" s="145"/>
      <c r="FRB69" s="143"/>
      <c r="FRC69" s="145"/>
      <c r="FRD69" s="146"/>
      <c r="FRE69" s="147"/>
      <c r="FRF69"/>
      <c r="FRG69" s="148"/>
      <c r="FRH69"/>
      <c r="FRI69" s="140"/>
      <c r="FRJ69" s="149"/>
      <c r="FRK69"/>
      <c r="FRL69" s="142"/>
      <c r="FRM69" s="143"/>
      <c r="FRN69" s="144"/>
      <c r="FRO69" s="144"/>
      <c r="FRP69" s="143"/>
      <c r="FRQ69" s="145"/>
      <c r="FRR69" s="143"/>
      <c r="FRS69" s="145"/>
      <c r="FRT69" s="146"/>
      <c r="FRU69" s="147"/>
      <c r="FRV69"/>
      <c r="FRW69" s="148"/>
      <c r="FRX69"/>
      <c r="FRY69" s="140"/>
      <c r="FRZ69" s="149"/>
      <c r="FSA69"/>
      <c r="FSB69" s="142"/>
      <c r="FSC69" s="143"/>
      <c r="FSD69" s="144"/>
      <c r="FSE69" s="144"/>
      <c r="FSF69" s="143"/>
      <c r="FSG69" s="145"/>
      <c r="FSH69" s="143"/>
      <c r="FSI69" s="145"/>
      <c r="FSJ69" s="146"/>
      <c r="FSK69" s="147"/>
      <c r="FSL69"/>
      <c r="FSM69" s="148"/>
      <c r="FSN69"/>
      <c r="FSO69" s="140"/>
      <c r="FSP69" s="149"/>
      <c r="FSQ69"/>
      <c r="FSR69" s="142"/>
      <c r="FSS69" s="143"/>
      <c r="FST69" s="144"/>
      <c r="FSU69" s="144"/>
      <c r="FSV69" s="143"/>
      <c r="FSW69" s="145"/>
      <c r="FSX69" s="143"/>
      <c r="FSY69" s="145"/>
      <c r="FSZ69" s="146"/>
      <c r="FTA69" s="147"/>
      <c r="FTB69"/>
      <c r="FTC69" s="148"/>
      <c r="FTD69"/>
      <c r="FTE69" s="140"/>
      <c r="FTF69" s="149"/>
      <c r="FTG69"/>
      <c r="FTH69" s="142"/>
      <c r="FTI69" s="143"/>
      <c r="FTJ69" s="144"/>
      <c r="FTK69" s="144"/>
      <c r="FTL69" s="143"/>
      <c r="FTM69" s="145"/>
      <c r="FTN69" s="143"/>
      <c r="FTO69" s="145"/>
      <c r="FTP69" s="146"/>
      <c r="FTQ69" s="147"/>
      <c r="FTR69"/>
      <c r="FTS69" s="148"/>
      <c r="FTT69"/>
      <c r="FTU69" s="140"/>
      <c r="FTV69" s="149"/>
      <c r="FTW69"/>
      <c r="FTX69" s="142"/>
      <c r="FTY69" s="143"/>
      <c r="FTZ69" s="144"/>
      <c r="FUA69" s="144"/>
      <c r="FUB69" s="143"/>
      <c r="FUC69" s="145"/>
      <c r="FUD69" s="143"/>
      <c r="FUE69" s="145"/>
      <c r="FUF69" s="146"/>
      <c r="FUG69" s="147"/>
      <c r="FUH69"/>
      <c r="FUI69" s="148"/>
      <c r="FUJ69"/>
      <c r="FUK69" s="140"/>
      <c r="FUL69" s="149"/>
      <c r="FUM69"/>
      <c r="FUN69" s="142"/>
      <c r="FUO69" s="143"/>
      <c r="FUP69" s="144"/>
      <c r="FUQ69" s="144"/>
      <c r="FUR69" s="143"/>
      <c r="FUS69" s="145"/>
      <c r="FUT69" s="143"/>
      <c r="FUU69" s="145"/>
      <c r="FUV69" s="146"/>
      <c r="FUW69" s="147"/>
      <c r="FUX69"/>
      <c r="FUY69" s="148"/>
      <c r="FUZ69"/>
      <c r="FVA69" s="140"/>
      <c r="FVB69" s="149"/>
      <c r="FVC69"/>
      <c r="FVD69" s="142"/>
      <c r="FVE69" s="143"/>
      <c r="FVF69" s="144"/>
      <c r="FVG69" s="144"/>
      <c r="FVH69" s="143"/>
      <c r="FVI69" s="145"/>
      <c r="FVJ69" s="143"/>
      <c r="FVK69" s="145"/>
      <c r="FVL69" s="146"/>
      <c r="FVM69" s="147"/>
      <c r="FVN69"/>
      <c r="FVO69" s="148"/>
      <c r="FVP69"/>
      <c r="FVQ69" s="140"/>
      <c r="FVR69" s="149"/>
      <c r="FVS69"/>
      <c r="FVT69" s="142"/>
      <c r="FVU69" s="143"/>
      <c r="FVV69" s="144"/>
      <c r="FVW69" s="144"/>
      <c r="FVX69" s="143"/>
      <c r="FVY69" s="145"/>
      <c r="FVZ69" s="143"/>
      <c r="FWA69" s="145"/>
      <c r="FWB69" s="146"/>
      <c r="FWC69" s="147"/>
      <c r="FWD69"/>
      <c r="FWE69" s="148"/>
      <c r="FWF69"/>
      <c r="FWG69" s="140"/>
      <c r="FWH69" s="149"/>
      <c r="FWI69"/>
      <c r="FWJ69" s="142"/>
      <c r="FWK69" s="143"/>
      <c r="FWL69" s="144"/>
      <c r="FWM69" s="144"/>
      <c r="FWN69" s="143"/>
      <c r="FWO69" s="145"/>
      <c r="FWP69" s="143"/>
      <c r="FWQ69" s="145"/>
      <c r="FWR69" s="146"/>
      <c r="FWS69" s="147"/>
      <c r="FWT69"/>
      <c r="FWU69" s="148"/>
      <c r="FWV69"/>
      <c r="FWW69" s="140"/>
      <c r="FWX69" s="149"/>
      <c r="FWY69"/>
      <c r="FWZ69" s="142"/>
      <c r="FXA69" s="143"/>
      <c r="FXB69" s="144"/>
      <c r="FXC69" s="144"/>
      <c r="FXD69" s="143"/>
      <c r="FXE69" s="145"/>
      <c r="FXF69" s="143"/>
      <c r="FXG69" s="145"/>
      <c r="FXH69" s="146"/>
      <c r="FXI69" s="147"/>
      <c r="FXJ69"/>
      <c r="FXK69" s="148"/>
      <c r="FXL69"/>
      <c r="FXM69" s="140"/>
      <c r="FXN69" s="149"/>
      <c r="FXO69"/>
      <c r="FXP69" s="142"/>
      <c r="FXQ69" s="143"/>
      <c r="FXR69" s="144"/>
      <c r="FXS69" s="144"/>
      <c r="FXT69" s="143"/>
      <c r="FXU69" s="145"/>
      <c r="FXV69" s="143"/>
      <c r="FXW69" s="145"/>
      <c r="FXX69" s="146"/>
      <c r="FXY69" s="147"/>
      <c r="FXZ69"/>
      <c r="FYA69" s="148"/>
      <c r="FYB69"/>
      <c r="FYC69" s="140"/>
      <c r="FYD69" s="149"/>
      <c r="FYE69"/>
      <c r="FYF69" s="142"/>
      <c r="FYG69" s="143"/>
      <c r="FYH69" s="144"/>
      <c r="FYI69" s="144"/>
      <c r="FYJ69" s="143"/>
      <c r="FYK69" s="145"/>
      <c r="FYL69" s="143"/>
      <c r="FYM69" s="145"/>
      <c r="FYN69" s="146"/>
      <c r="FYO69" s="147"/>
      <c r="FYP69"/>
      <c r="FYQ69" s="148"/>
      <c r="FYR69"/>
      <c r="FYS69" s="140"/>
      <c r="FYT69" s="149"/>
      <c r="FYU69"/>
      <c r="FYV69" s="142"/>
      <c r="FYW69" s="143"/>
      <c r="FYX69" s="144"/>
      <c r="FYY69" s="144"/>
      <c r="FYZ69" s="143"/>
      <c r="FZA69" s="145"/>
      <c r="FZB69" s="143"/>
      <c r="FZC69" s="145"/>
      <c r="FZD69" s="146"/>
      <c r="FZE69" s="147"/>
      <c r="FZF69"/>
      <c r="FZG69" s="148"/>
      <c r="FZH69"/>
      <c r="FZI69" s="140"/>
      <c r="FZJ69" s="149"/>
      <c r="FZK69"/>
      <c r="FZL69" s="142"/>
      <c r="FZM69" s="143"/>
      <c r="FZN69" s="144"/>
      <c r="FZO69" s="144"/>
      <c r="FZP69" s="143"/>
      <c r="FZQ69" s="145"/>
      <c r="FZR69" s="143"/>
      <c r="FZS69" s="145"/>
      <c r="FZT69" s="146"/>
      <c r="FZU69" s="147"/>
      <c r="FZV69"/>
      <c r="FZW69" s="148"/>
      <c r="FZX69"/>
      <c r="FZY69" s="140"/>
      <c r="FZZ69" s="149"/>
      <c r="GAA69"/>
      <c r="GAB69" s="142"/>
      <c r="GAC69" s="143"/>
      <c r="GAD69" s="144"/>
      <c r="GAE69" s="144"/>
      <c r="GAF69" s="143"/>
      <c r="GAG69" s="145"/>
      <c r="GAH69" s="143"/>
      <c r="GAI69" s="145"/>
      <c r="GAJ69" s="146"/>
      <c r="GAK69" s="147"/>
      <c r="GAL69"/>
      <c r="GAM69" s="148"/>
      <c r="GAN69"/>
      <c r="GAO69" s="140"/>
      <c r="GAP69" s="149"/>
      <c r="GAQ69"/>
      <c r="GAR69" s="142"/>
      <c r="GAS69" s="143"/>
      <c r="GAT69" s="144"/>
      <c r="GAU69" s="144"/>
      <c r="GAV69" s="143"/>
      <c r="GAW69" s="145"/>
      <c r="GAX69" s="143"/>
      <c r="GAY69" s="145"/>
      <c r="GAZ69" s="146"/>
      <c r="GBA69" s="147"/>
      <c r="GBB69"/>
      <c r="GBC69" s="148"/>
      <c r="GBD69"/>
      <c r="GBE69" s="140"/>
      <c r="GBF69" s="149"/>
      <c r="GBG69"/>
      <c r="GBH69" s="142"/>
      <c r="GBI69" s="143"/>
      <c r="GBJ69" s="144"/>
      <c r="GBK69" s="144"/>
      <c r="GBL69" s="143"/>
      <c r="GBM69" s="145"/>
      <c r="GBN69" s="143"/>
      <c r="GBO69" s="145"/>
      <c r="GBP69" s="146"/>
      <c r="GBQ69" s="147"/>
      <c r="GBR69"/>
      <c r="GBS69" s="148"/>
      <c r="GBT69"/>
      <c r="GBU69" s="140"/>
      <c r="GBV69" s="149"/>
      <c r="GBW69"/>
      <c r="GBX69" s="142"/>
      <c r="GBY69" s="143"/>
      <c r="GBZ69" s="144"/>
      <c r="GCA69" s="144"/>
      <c r="GCB69" s="143"/>
      <c r="GCC69" s="145"/>
      <c r="GCD69" s="143"/>
      <c r="GCE69" s="145"/>
      <c r="GCF69" s="146"/>
      <c r="GCG69" s="147"/>
      <c r="GCH69"/>
      <c r="GCI69" s="148"/>
      <c r="GCJ69"/>
      <c r="GCK69" s="140"/>
      <c r="GCL69" s="149"/>
      <c r="GCM69"/>
      <c r="GCN69" s="142"/>
      <c r="GCO69" s="143"/>
      <c r="GCP69" s="144"/>
      <c r="GCQ69" s="144"/>
      <c r="GCR69" s="143"/>
      <c r="GCS69" s="145"/>
      <c r="GCT69" s="143"/>
      <c r="GCU69" s="145"/>
      <c r="GCV69" s="146"/>
      <c r="GCW69" s="147"/>
      <c r="GCX69"/>
      <c r="GCY69" s="148"/>
      <c r="GCZ69"/>
      <c r="GDA69" s="140"/>
      <c r="GDB69" s="149"/>
      <c r="GDC69"/>
      <c r="GDD69" s="142"/>
      <c r="GDE69" s="143"/>
      <c r="GDF69" s="144"/>
      <c r="GDG69" s="144"/>
      <c r="GDH69" s="143"/>
      <c r="GDI69" s="145"/>
      <c r="GDJ69" s="143"/>
      <c r="GDK69" s="145"/>
      <c r="GDL69" s="146"/>
      <c r="GDM69" s="147"/>
      <c r="GDN69"/>
      <c r="GDO69" s="148"/>
      <c r="GDP69"/>
      <c r="GDQ69" s="140"/>
      <c r="GDR69" s="149"/>
      <c r="GDS69"/>
      <c r="GDT69" s="142"/>
      <c r="GDU69" s="143"/>
      <c r="GDV69" s="144"/>
      <c r="GDW69" s="144"/>
      <c r="GDX69" s="143"/>
      <c r="GDY69" s="145"/>
      <c r="GDZ69" s="143"/>
      <c r="GEA69" s="145"/>
      <c r="GEB69" s="146"/>
      <c r="GEC69" s="147"/>
      <c r="GED69"/>
      <c r="GEE69" s="148"/>
      <c r="GEF69"/>
      <c r="GEG69" s="140"/>
      <c r="GEH69" s="149"/>
      <c r="GEI69"/>
      <c r="GEJ69" s="142"/>
      <c r="GEK69" s="143"/>
      <c r="GEL69" s="144"/>
      <c r="GEM69" s="144"/>
      <c r="GEN69" s="143"/>
      <c r="GEO69" s="145"/>
      <c r="GEP69" s="143"/>
      <c r="GEQ69" s="145"/>
      <c r="GER69" s="146"/>
      <c r="GES69" s="147"/>
      <c r="GET69"/>
      <c r="GEU69" s="148"/>
      <c r="GEV69"/>
      <c r="GEW69" s="140"/>
      <c r="GEX69" s="149"/>
      <c r="GEY69"/>
      <c r="GEZ69" s="142"/>
      <c r="GFA69" s="143"/>
      <c r="GFB69" s="144"/>
      <c r="GFC69" s="144"/>
      <c r="GFD69" s="143"/>
      <c r="GFE69" s="145"/>
      <c r="GFF69" s="143"/>
      <c r="GFG69" s="145"/>
      <c r="GFH69" s="146"/>
      <c r="GFI69" s="147"/>
      <c r="GFJ69"/>
      <c r="GFK69" s="148"/>
      <c r="GFL69"/>
      <c r="GFM69" s="140"/>
      <c r="GFN69" s="149"/>
      <c r="GFO69"/>
      <c r="GFP69" s="142"/>
      <c r="GFQ69" s="143"/>
      <c r="GFR69" s="144"/>
      <c r="GFS69" s="144"/>
      <c r="GFT69" s="143"/>
      <c r="GFU69" s="145"/>
      <c r="GFV69" s="143"/>
      <c r="GFW69" s="145"/>
      <c r="GFX69" s="146"/>
      <c r="GFY69" s="147"/>
      <c r="GFZ69"/>
      <c r="GGA69" s="148"/>
      <c r="GGB69"/>
      <c r="GGC69" s="140"/>
      <c r="GGD69" s="149"/>
      <c r="GGE69"/>
      <c r="GGF69" s="142"/>
      <c r="GGG69" s="143"/>
      <c r="GGH69" s="144"/>
      <c r="GGI69" s="144"/>
      <c r="GGJ69" s="143"/>
      <c r="GGK69" s="145"/>
      <c r="GGL69" s="143"/>
      <c r="GGM69" s="145"/>
      <c r="GGN69" s="146"/>
      <c r="GGO69" s="147"/>
      <c r="GGP69"/>
      <c r="GGQ69" s="148"/>
      <c r="GGR69"/>
      <c r="GGS69" s="140"/>
      <c r="GGT69" s="149"/>
      <c r="GGU69"/>
      <c r="GGV69" s="142"/>
      <c r="GGW69" s="143"/>
      <c r="GGX69" s="144"/>
      <c r="GGY69" s="144"/>
      <c r="GGZ69" s="143"/>
      <c r="GHA69" s="145"/>
      <c r="GHB69" s="143"/>
      <c r="GHC69" s="145"/>
      <c r="GHD69" s="146"/>
      <c r="GHE69" s="147"/>
      <c r="GHF69"/>
      <c r="GHG69" s="148"/>
      <c r="GHH69"/>
      <c r="GHI69" s="140"/>
      <c r="GHJ69" s="149"/>
      <c r="GHK69"/>
      <c r="GHL69" s="142"/>
      <c r="GHM69" s="143"/>
      <c r="GHN69" s="144"/>
      <c r="GHO69" s="144"/>
      <c r="GHP69" s="143"/>
      <c r="GHQ69" s="145"/>
      <c r="GHR69" s="143"/>
      <c r="GHS69" s="145"/>
      <c r="GHT69" s="146"/>
      <c r="GHU69" s="147"/>
      <c r="GHV69"/>
      <c r="GHW69" s="148"/>
      <c r="GHX69"/>
      <c r="GHY69" s="140"/>
      <c r="GHZ69" s="149"/>
      <c r="GIA69"/>
      <c r="GIB69" s="142"/>
      <c r="GIC69" s="143"/>
      <c r="GID69" s="144"/>
      <c r="GIE69" s="144"/>
      <c r="GIF69" s="143"/>
      <c r="GIG69" s="145"/>
      <c r="GIH69" s="143"/>
      <c r="GII69" s="145"/>
      <c r="GIJ69" s="146"/>
      <c r="GIK69" s="147"/>
      <c r="GIL69"/>
      <c r="GIM69" s="148"/>
      <c r="GIN69"/>
      <c r="GIO69" s="140"/>
      <c r="GIP69" s="149"/>
      <c r="GIQ69"/>
      <c r="GIR69" s="142"/>
      <c r="GIS69" s="143"/>
      <c r="GIT69" s="144"/>
      <c r="GIU69" s="144"/>
      <c r="GIV69" s="143"/>
      <c r="GIW69" s="145"/>
      <c r="GIX69" s="143"/>
      <c r="GIY69" s="145"/>
      <c r="GIZ69" s="146"/>
      <c r="GJA69" s="147"/>
      <c r="GJB69"/>
      <c r="GJC69" s="148"/>
      <c r="GJD69"/>
      <c r="GJE69" s="140"/>
      <c r="GJF69" s="149"/>
      <c r="GJG69"/>
      <c r="GJH69" s="142"/>
      <c r="GJI69" s="143"/>
      <c r="GJJ69" s="144"/>
      <c r="GJK69" s="144"/>
      <c r="GJL69" s="143"/>
      <c r="GJM69" s="145"/>
      <c r="GJN69" s="143"/>
      <c r="GJO69" s="145"/>
      <c r="GJP69" s="146"/>
      <c r="GJQ69" s="147"/>
      <c r="GJR69"/>
      <c r="GJS69" s="148"/>
      <c r="GJT69"/>
      <c r="GJU69" s="140"/>
      <c r="GJV69" s="149"/>
      <c r="GJW69"/>
      <c r="GJX69" s="142"/>
      <c r="GJY69" s="143"/>
      <c r="GJZ69" s="144"/>
      <c r="GKA69" s="144"/>
      <c r="GKB69" s="143"/>
      <c r="GKC69" s="145"/>
      <c r="GKD69" s="143"/>
      <c r="GKE69" s="145"/>
      <c r="GKF69" s="146"/>
      <c r="GKG69" s="147"/>
      <c r="GKH69"/>
      <c r="GKI69" s="148"/>
      <c r="GKJ69"/>
      <c r="GKK69" s="140"/>
      <c r="GKL69" s="149"/>
      <c r="GKM69"/>
      <c r="GKN69" s="142"/>
      <c r="GKO69" s="143"/>
      <c r="GKP69" s="144"/>
      <c r="GKQ69" s="144"/>
      <c r="GKR69" s="143"/>
      <c r="GKS69" s="145"/>
      <c r="GKT69" s="143"/>
      <c r="GKU69" s="145"/>
      <c r="GKV69" s="146"/>
      <c r="GKW69" s="147"/>
      <c r="GKX69"/>
      <c r="GKY69" s="148"/>
      <c r="GKZ69"/>
      <c r="GLA69" s="140"/>
      <c r="GLB69" s="149"/>
      <c r="GLC69"/>
      <c r="GLD69" s="142"/>
      <c r="GLE69" s="143"/>
      <c r="GLF69" s="144"/>
      <c r="GLG69" s="144"/>
      <c r="GLH69" s="143"/>
      <c r="GLI69" s="145"/>
      <c r="GLJ69" s="143"/>
      <c r="GLK69" s="145"/>
      <c r="GLL69" s="146"/>
      <c r="GLM69" s="147"/>
      <c r="GLN69"/>
      <c r="GLO69" s="148"/>
      <c r="GLP69"/>
      <c r="GLQ69" s="140"/>
      <c r="GLR69" s="149"/>
      <c r="GLS69"/>
      <c r="GLT69" s="142"/>
      <c r="GLU69" s="143"/>
      <c r="GLV69" s="144"/>
      <c r="GLW69" s="144"/>
      <c r="GLX69" s="143"/>
      <c r="GLY69" s="145"/>
      <c r="GLZ69" s="143"/>
      <c r="GMA69" s="145"/>
      <c r="GMB69" s="146"/>
      <c r="GMC69" s="147"/>
      <c r="GMD69"/>
      <c r="GME69" s="148"/>
      <c r="GMF69"/>
      <c r="GMG69" s="140"/>
      <c r="GMH69" s="149"/>
      <c r="GMI69"/>
      <c r="GMJ69" s="142"/>
      <c r="GMK69" s="143"/>
      <c r="GML69" s="144"/>
      <c r="GMM69" s="144"/>
      <c r="GMN69" s="143"/>
      <c r="GMO69" s="145"/>
      <c r="GMP69" s="143"/>
      <c r="GMQ69" s="145"/>
      <c r="GMR69" s="146"/>
      <c r="GMS69" s="147"/>
      <c r="GMT69"/>
      <c r="GMU69" s="148"/>
      <c r="GMV69"/>
      <c r="GMW69" s="140"/>
      <c r="GMX69" s="149"/>
      <c r="GMY69"/>
      <c r="GMZ69" s="142"/>
      <c r="GNA69" s="143"/>
      <c r="GNB69" s="144"/>
      <c r="GNC69" s="144"/>
      <c r="GND69" s="143"/>
      <c r="GNE69" s="145"/>
      <c r="GNF69" s="143"/>
      <c r="GNG69" s="145"/>
      <c r="GNH69" s="146"/>
      <c r="GNI69" s="147"/>
      <c r="GNJ69"/>
      <c r="GNK69" s="148"/>
      <c r="GNL69"/>
      <c r="GNM69" s="140"/>
      <c r="GNN69" s="149"/>
      <c r="GNO69"/>
      <c r="GNP69" s="142"/>
      <c r="GNQ69" s="143"/>
      <c r="GNR69" s="144"/>
      <c r="GNS69" s="144"/>
      <c r="GNT69" s="143"/>
      <c r="GNU69" s="145"/>
      <c r="GNV69" s="143"/>
      <c r="GNW69" s="145"/>
      <c r="GNX69" s="146"/>
      <c r="GNY69" s="147"/>
      <c r="GNZ69"/>
      <c r="GOA69" s="148"/>
      <c r="GOB69"/>
      <c r="GOC69" s="140"/>
      <c r="GOD69" s="149"/>
      <c r="GOE69"/>
      <c r="GOF69" s="142"/>
      <c r="GOG69" s="143"/>
      <c r="GOH69" s="144"/>
      <c r="GOI69" s="144"/>
      <c r="GOJ69" s="143"/>
      <c r="GOK69" s="145"/>
      <c r="GOL69" s="143"/>
      <c r="GOM69" s="145"/>
      <c r="GON69" s="146"/>
      <c r="GOO69" s="147"/>
      <c r="GOP69"/>
      <c r="GOQ69" s="148"/>
      <c r="GOR69"/>
      <c r="GOS69" s="140"/>
      <c r="GOT69" s="149"/>
      <c r="GOU69"/>
      <c r="GOV69" s="142"/>
      <c r="GOW69" s="143"/>
      <c r="GOX69" s="144"/>
      <c r="GOY69" s="144"/>
      <c r="GOZ69" s="143"/>
      <c r="GPA69" s="145"/>
      <c r="GPB69" s="143"/>
      <c r="GPC69" s="145"/>
      <c r="GPD69" s="146"/>
      <c r="GPE69" s="147"/>
      <c r="GPF69"/>
      <c r="GPG69" s="148"/>
      <c r="GPH69"/>
      <c r="GPI69" s="140"/>
      <c r="GPJ69" s="149"/>
      <c r="GPK69"/>
      <c r="GPL69" s="142"/>
      <c r="GPM69" s="143"/>
      <c r="GPN69" s="144"/>
      <c r="GPO69" s="144"/>
      <c r="GPP69" s="143"/>
      <c r="GPQ69" s="145"/>
      <c r="GPR69" s="143"/>
      <c r="GPS69" s="145"/>
      <c r="GPT69" s="146"/>
      <c r="GPU69" s="147"/>
      <c r="GPV69"/>
      <c r="GPW69" s="148"/>
      <c r="GPX69"/>
      <c r="GPY69" s="140"/>
      <c r="GPZ69" s="149"/>
      <c r="GQA69"/>
      <c r="GQB69" s="142"/>
      <c r="GQC69" s="143"/>
      <c r="GQD69" s="144"/>
      <c r="GQE69" s="144"/>
      <c r="GQF69" s="143"/>
      <c r="GQG69" s="145"/>
      <c r="GQH69" s="143"/>
      <c r="GQI69" s="145"/>
      <c r="GQJ69" s="146"/>
      <c r="GQK69" s="147"/>
      <c r="GQL69"/>
      <c r="GQM69" s="148"/>
      <c r="GQN69"/>
      <c r="GQO69" s="140"/>
      <c r="GQP69" s="149"/>
      <c r="GQQ69"/>
      <c r="GQR69" s="142"/>
      <c r="GQS69" s="143"/>
      <c r="GQT69" s="144"/>
      <c r="GQU69" s="144"/>
      <c r="GQV69" s="143"/>
      <c r="GQW69" s="145"/>
      <c r="GQX69" s="143"/>
      <c r="GQY69" s="145"/>
      <c r="GQZ69" s="146"/>
      <c r="GRA69" s="147"/>
      <c r="GRB69"/>
      <c r="GRC69" s="148"/>
      <c r="GRD69"/>
      <c r="GRE69" s="140"/>
      <c r="GRF69" s="149"/>
      <c r="GRG69"/>
      <c r="GRH69" s="142"/>
      <c r="GRI69" s="143"/>
      <c r="GRJ69" s="144"/>
      <c r="GRK69" s="144"/>
      <c r="GRL69" s="143"/>
      <c r="GRM69" s="145"/>
      <c r="GRN69" s="143"/>
      <c r="GRO69" s="145"/>
      <c r="GRP69" s="146"/>
      <c r="GRQ69" s="147"/>
      <c r="GRR69"/>
      <c r="GRS69" s="148"/>
      <c r="GRT69"/>
      <c r="GRU69" s="140"/>
      <c r="GRV69" s="149"/>
      <c r="GRW69"/>
      <c r="GRX69" s="142"/>
      <c r="GRY69" s="143"/>
      <c r="GRZ69" s="144"/>
      <c r="GSA69" s="144"/>
      <c r="GSB69" s="143"/>
      <c r="GSC69" s="145"/>
      <c r="GSD69" s="143"/>
      <c r="GSE69" s="145"/>
      <c r="GSF69" s="146"/>
      <c r="GSG69" s="147"/>
      <c r="GSH69"/>
      <c r="GSI69" s="148"/>
      <c r="GSJ69"/>
      <c r="GSK69" s="140"/>
      <c r="GSL69" s="149"/>
      <c r="GSM69"/>
      <c r="GSN69" s="142"/>
      <c r="GSO69" s="143"/>
      <c r="GSP69" s="144"/>
      <c r="GSQ69" s="144"/>
      <c r="GSR69" s="143"/>
      <c r="GSS69" s="145"/>
      <c r="GST69" s="143"/>
      <c r="GSU69" s="145"/>
      <c r="GSV69" s="146"/>
      <c r="GSW69" s="147"/>
      <c r="GSX69"/>
      <c r="GSY69" s="148"/>
      <c r="GSZ69"/>
      <c r="GTA69" s="140"/>
      <c r="GTB69" s="149"/>
      <c r="GTC69"/>
      <c r="GTD69" s="142"/>
      <c r="GTE69" s="143"/>
      <c r="GTF69" s="144"/>
      <c r="GTG69" s="144"/>
      <c r="GTH69" s="143"/>
      <c r="GTI69" s="145"/>
      <c r="GTJ69" s="143"/>
      <c r="GTK69" s="145"/>
      <c r="GTL69" s="146"/>
      <c r="GTM69" s="147"/>
      <c r="GTN69"/>
      <c r="GTO69" s="148"/>
      <c r="GTP69"/>
      <c r="GTQ69" s="140"/>
      <c r="GTR69" s="149"/>
      <c r="GTS69"/>
      <c r="GTT69" s="142"/>
      <c r="GTU69" s="143"/>
      <c r="GTV69" s="144"/>
      <c r="GTW69" s="144"/>
      <c r="GTX69" s="143"/>
      <c r="GTY69" s="145"/>
      <c r="GTZ69" s="143"/>
      <c r="GUA69" s="145"/>
      <c r="GUB69" s="146"/>
      <c r="GUC69" s="147"/>
      <c r="GUD69"/>
      <c r="GUE69" s="148"/>
      <c r="GUF69"/>
      <c r="GUG69" s="140"/>
      <c r="GUH69" s="149"/>
      <c r="GUI69"/>
      <c r="GUJ69" s="142"/>
      <c r="GUK69" s="143"/>
      <c r="GUL69" s="144"/>
      <c r="GUM69" s="144"/>
      <c r="GUN69" s="143"/>
      <c r="GUO69" s="145"/>
      <c r="GUP69" s="143"/>
      <c r="GUQ69" s="145"/>
      <c r="GUR69" s="146"/>
      <c r="GUS69" s="147"/>
      <c r="GUT69"/>
      <c r="GUU69" s="148"/>
      <c r="GUV69"/>
      <c r="GUW69" s="140"/>
      <c r="GUX69" s="149"/>
      <c r="GUY69"/>
      <c r="GUZ69" s="142"/>
      <c r="GVA69" s="143"/>
      <c r="GVB69" s="144"/>
      <c r="GVC69" s="144"/>
      <c r="GVD69" s="143"/>
      <c r="GVE69" s="145"/>
      <c r="GVF69" s="143"/>
      <c r="GVG69" s="145"/>
      <c r="GVH69" s="146"/>
      <c r="GVI69" s="147"/>
      <c r="GVJ69"/>
      <c r="GVK69" s="148"/>
      <c r="GVL69"/>
      <c r="GVM69" s="140"/>
      <c r="GVN69" s="149"/>
      <c r="GVO69"/>
      <c r="GVP69" s="142"/>
      <c r="GVQ69" s="143"/>
      <c r="GVR69" s="144"/>
      <c r="GVS69" s="144"/>
      <c r="GVT69" s="143"/>
      <c r="GVU69" s="145"/>
      <c r="GVV69" s="143"/>
      <c r="GVW69" s="145"/>
      <c r="GVX69" s="146"/>
      <c r="GVY69" s="147"/>
      <c r="GVZ69"/>
      <c r="GWA69" s="148"/>
      <c r="GWB69"/>
      <c r="GWC69" s="140"/>
      <c r="GWD69" s="149"/>
      <c r="GWE69"/>
      <c r="GWF69" s="142"/>
      <c r="GWG69" s="143"/>
      <c r="GWH69" s="144"/>
      <c r="GWI69" s="144"/>
      <c r="GWJ69" s="143"/>
      <c r="GWK69" s="145"/>
      <c r="GWL69" s="143"/>
      <c r="GWM69" s="145"/>
      <c r="GWN69" s="146"/>
      <c r="GWO69" s="147"/>
      <c r="GWP69"/>
      <c r="GWQ69" s="148"/>
      <c r="GWR69"/>
      <c r="GWS69" s="140"/>
      <c r="GWT69" s="149"/>
      <c r="GWU69"/>
      <c r="GWV69" s="142"/>
      <c r="GWW69" s="143"/>
      <c r="GWX69" s="144"/>
      <c r="GWY69" s="144"/>
      <c r="GWZ69" s="143"/>
      <c r="GXA69" s="145"/>
      <c r="GXB69" s="143"/>
      <c r="GXC69" s="145"/>
      <c r="GXD69" s="146"/>
      <c r="GXE69" s="147"/>
      <c r="GXF69"/>
      <c r="GXG69" s="148"/>
      <c r="GXH69"/>
      <c r="GXI69" s="140"/>
      <c r="GXJ69" s="149"/>
      <c r="GXK69"/>
      <c r="GXL69" s="142"/>
      <c r="GXM69" s="143"/>
      <c r="GXN69" s="144"/>
      <c r="GXO69" s="144"/>
      <c r="GXP69" s="143"/>
      <c r="GXQ69" s="145"/>
      <c r="GXR69" s="143"/>
      <c r="GXS69" s="145"/>
      <c r="GXT69" s="146"/>
      <c r="GXU69" s="147"/>
      <c r="GXV69"/>
      <c r="GXW69" s="148"/>
      <c r="GXX69"/>
      <c r="GXY69" s="140"/>
      <c r="GXZ69" s="149"/>
      <c r="GYA69"/>
      <c r="GYB69" s="142"/>
      <c r="GYC69" s="143"/>
      <c r="GYD69" s="144"/>
      <c r="GYE69" s="144"/>
      <c r="GYF69" s="143"/>
      <c r="GYG69" s="145"/>
      <c r="GYH69" s="143"/>
      <c r="GYI69" s="145"/>
      <c r="GYJ69" s="146"/>
      <c r="GYK69" s="147"/>
      <c r="GYL69"/>
      <c r="GYM69" s="148"/>
      <c r="GYN69"/>
      <c r="GYO69" s="140"/>
      <c r="GYP69" s="149"/>
      <c r="GYQ69"/>
      <c r="GYR69" s="142"/>
      <c r="GYS69" s="143"/>
      <c r="GYT69" s="144"/>
      <c r="GYU69" s="144"/>
      <c r="GYV69" s="143"/>
      <c r="GYW69" s="145"/>
      <c r="GYX69" s="143"/>
      <c r="GYY69" s="145"/>
      <c r="GYZ69" s="146"/>
      <c r="GZA69" s="147"/>
      <c r="GZB69"/>
      <c r="GZC69" s="148"/>
      <c r="GZD69"/>
      <c r="GZE69" s="140"/>
      <c r="GZF69" s="149"/>
      <c r="GZG69"/>
      <c r="GZH69" s="142"/>
      <c r="GZI69" s="143"/>
      <c r="GZJ69" s="144"/>
      <c r="GZK69" s="144"/>
      <c r="GZL69" s="143"/>
      <c r="GZM69" s="145"/>
      <c r="GZN69" s="143"/>
      <c r="GZO69" s="145"/>
      <c r="GZP69" s="146"/>
      <c r="GZQ69" s="147"/>
      <c r="GZR69"/>
      <c r="GZS69" s="148"/>
      <c r="GZT69"/>
      <c r="GZU69" s="140"/>
      <c r="GZV69" s="149"/>
      <c r="GZW69"/>
      <c r="GZX69" s="142"/>
      <c r="GZY69" s="143"/>
      <c r="GZZ69" s="144"/>
      <c r="HAA69" s="144"/>
      <c r="HAB69" s="143"/>
      <c r="HAC69" s="145"/>
      <c r="HAD69" s="143"/>
      <c r="HAE69" s="145"/>
      <c r="HAF69" s="146"/>
      <c r="HAG69" s="147"/>
      <c r="HAH69"/>
      <c r="HAI69" s="148"/>
      <c r="HAJ69"/>
      <c r="HAK69" s="140"/>
      <c r="HAL69" s="149"/>
      <c r="HAM69"/>
      <c r="HAN69" s="142"/>
      <c r="HAO69" s="143"/>
      <c r="HAP69" s="144"/>
      <c r="HAQ69" s="144"/>
      <c r="HAR69" s="143"/>
      <c r="HAS69" s="145"/>
      <c r="HAT69" s="143"/>
      <c r="HAU69" s="145"/>
      <c r="HAV69" s="146"/>
      <c r="HAW69" s="147"/>
      <c r="HAX69"/>
      <c r="HAY69" s="148"/>
      <c r="HAZ69"/>
      <c r="HBA69" s="140"/>
      <c r="HBB69" s="149"/>
      <c r="HBC69"/>
      <c r="HBD69" s="142"/>
      <c r="HBE69" s="143"/>
      <c r="HBF69" s="144"/>
      <c r="HBG69" s="144"/>
      <c r="HBH69" s="143"/>
      <c r="HBI69" s="145"/>
      <c r="HBJ69" s="143"/>
      <c r="HBK69" s="145"/>
      <c r="HBL69" s="146"/>
      <c r="HBM69" s="147"/>
      <c r="HBN69"/>
      <c r="HBO69" s="148"/>
      <c r="HBP69"/>
      <c r="HBQ69" s="140"/>
      <c r="HBR69" s="149"/>
      <c r="HBS69"/>
      <c r="HBT69" s="142"/>
      <c r="HBU69" s="143"/>
      <c r="HBV69" s="144"/>
      <c r="HBW69" s="144"/>
      <c r="HBX69" s="143"/>
      <c r="HBY69" s="145"/>
      <c r="HBZ69" s="143"/>
      <c r="HCA69" s="145"/>
      <c r="HCB69" s="146"/>
      <c r="HCC69" s="147"/>
      <c r="HCD69"/>
      <c r="HCE69" s="148"/>
      <c r="HCF69"/>
      <c r="HCG69" s="140"/>
      <c r="HCH69" s="149"/>
      <c r="HCI69"/>
      <c r="HCJ69" s="142"/>
      <c r="HCK69" s="143"/>
      <c r="HCL69" s="144"/>
      <c r="HCM69" s="144"/>
      <c r="HCN69" s="143"/>
      <c r="HCO69" s="145"/>
      <c r="HCP69" s="143"/>
      <c r="HCQ69" s="145"/>
      <c r="HCR69" s="146"/>
      <c r="HCS69" s="147"/>
      <c r="HCT69"/>
      <c r="HCU69" s="148"/>
      <c r="HCV69"/>
      <c r="HCW69" s="140"/>
      <c r="HCX69" s="149"/>
      <c r="HCY69"/>
      <c r="HCZ69" s="142"/>
      <c r="HDA69" s="143"/>
      <c r="HDB69" s="144"/>
      <c r="HDC69" s="144"/>
      <c r="HDD69" s="143"/>
      <c r="HDE69" s="145"/>
      <c r="HDF69" s="143"/>
      <c r="HDG69" s="145"/>
      <c r="HDH69" s="146"/>
      <c r="HDI69" s="147"/>
      <c r="HDJ69"/>
      <c r="HDK69" s="148"/>
      <c r="HDL69"/>
      <c r="HDM69" s="140"/>
      <c r="HDN69" s="149"/>
      <c r="HDO69"/>
      <c r="HDP69" s="142"/>
      <c r="HDQ69" s="143"/>
      <c r="HDR69" s="144"/>
      <c r="HDS69" s="144"/>
      <c r="HDT69" s="143"/>
      <c r="HDU69" s="145"/>
      <c r="HDV69" s="143"/>
      <c r="HDW69" s="145"/>
      <c r="HDX69" s="146"/>
      <c r="HDY69" s="147"/>
      <c r="HDZ69"/>
      <c r="HEA69" s="148"/>
      <c r="HEB69"/>
      <c r="HEC69" s="140"/>
      <c r="HED69" s="149"/>
      <c r="HEE69"/>
      <c r="HEF69" s="142"/>
      <c r="HEG69" s="143"/>
      <c r="HEH69" s="144"/>
      <c r="HEI69" s="144"/>
      <c r="HEJ69" s="143"/>
      <c r="HEK69" s="145"/>
      <c r="HEL69" s="143"/>
      <c r="HEM69" s="145"/>
      <c r="HEN69" s="146"/>
      <c r="HEO69" s="147"/>
      <c r="HEP69"/>
      <c r="HEQ69" s="148"/>
      <c r="HER69"/>
      <c r="HES69" s="140"/>
      <c r="HET69" s="149"/>
      <c r="HEU69"/>
      <c r="HEV69" s="142"/>
      <c r="HEW69" s="143"/>
      <c r="HEX69" s="144"/>
      <c r="HEY69" s="144"/>
      <c r="HEZ69" s="143"/>
      <c r="HFA69" s="145"/>
      <c r="HFB69" s="143"/>
      <c r="HFC69" s="145"/>
      <c r="HFD69" s="146"/>
      <c r="HFE69" s="147"/>
      <c r="HFF69"/>
      <c r="HFG69" s="148"/>
      <c r="HFH69"/>
      <c r="HFI69" s="140"/>
      <c r="HFJ69" s="149"/>
      <c r="HFK69"/>
      <c r="HFL69" s="142"/>
      <c r="HFM69" s="143"/>
      <c r="HFN69" s="144"/>
      <c r="HFO69" s="144"/>
      <c r="HFP69" s="143"/>
      <c r="HFQ69" s="145"/>
      <c r="HFR69" s="143"/>
      <c r="HFS69" s="145"/>
      <c r="HFT69" s="146"/>
      <c r="HFU69" s="147"/>
      <c r="HFV69"/>
      <c r="HFW69" s="148"/>
      <c r="HFX69"/>
      <c r="HFY69" s="140"/>
      <c r="HFZ69" s="149"/>
      <c r="HGA69"/>
      <c r="HGB69" s="142"/>
      <c r="HGC69" s="143"/>
      <c r="HGD69" s="144"/>
      <c r="HGE69" s="144"/>
      <c r="HGF69" s="143"/>
      <c r="HGG69" s="145"/>
      <c r="HGH69" s="143"/>
      <c r="HGI69" s="145"/>
      <c r="HGJ69" s="146"/>
      <c r="HGK69" s="147"/>
      <c r="HGL69"/>
      <c r="HGM69" s="148"/>
      <c r="HGN69"/>
      <c r="HGO69" s="140"/>
      <c r="HGP69" s="149"/>
      <c r="HGQ69"/>
      <c r="HGR69" s="142"/>
      <c r="HGS69" s="143"/>
      <c r="HGT69" s="144"/>
      <c r="HGU69" s="144"/>
      <c r="HGV69" s="143"/>
      <c r="HGW69" s="145"/>
      <c r="HGX69" s="143"/>
      <c r="HGY69" s="145"/>
      <c r="HGZ69" s="146"/>
      <c r="HHA69" s="147"/>
      <c r="HHB69"/>
      <c r="HHC69" s="148"/>
      <c r="HHD69"/>
      <c r="HHE69" s="140"/>
      <c r="HHF69" s="149"/>
      <c r="HHG69"/>
      <c r="HHH69" s="142"/>
      <c r="HHI69" s="143"/>
      <c r="HHJ69" s="144"/>
      <c r="HHK69" s="144"/>
      <c r="HHL69" s="143"/>
      <c r="HHM69" s="145"/>
      <c r="HHN69" s="143"/>
      <c r="HHO69" s="145"/>
      <c r="HHP69" s="146"/>
      <c r="HHQ69" s="147"/>
      <c r="HHR69"/>
      <c r="HHS69" s="148"/>
      <c r="HHT69"/>
      <c r="HHU69" s="140"/>
      <c r="HHV69" s="149"/>
      <c r="HHW69"/>
      <c r="HHX69" s="142"/>
      <c r="HHY69" s="143"/>
      <c r="HHZ69" s="144"/>
      <c r="HIA69" s="144"/>
      <c r="HIB69" s="143"/>
      <c r="HIC69" s="145"/>
      <c r="HID69" s="143"/>
      <c r="HIE69" s="145"/>
      <c r="HIF69" s="146"/>
      <c r="HIG69" s="147"/>
      <c r="HIH69"/>
      <c r="HII69" s="148"/>
      <c r="HIJ69"/>
      <c r="HIK69" s="140"/>
      <c r="HIL69" s="149"/>
      <c r="HIM69"/>
      <c r="HIN69" s="142"/>
      <c r="HIO69" s="143"/>
      <c r="HIP69" s="144"/>
      <c r="HIQ69" s="144"/>
      <c r="HIR69" s="143"/>
      <c r="HIS69" s="145"/>
      <c r="HIT69" s="143"/>
      <c r="HIU69" s="145"/>
      <c r="HIV69" s="146"/>
      <c r="HIW69" s="147"/>
      <c r="HIX69"/>
      <c r="HIY69" s="148"/>
      <c r="HIZ69"/>
      <c r="HJA69" s="140"/>
      <c r="HJB69" s="149"/>
      <c r="HJC69"/>
      <c r="HJD69" s="142"/>
      <c r="HJE69" s="143"/>
      <c r="HJF69" s="144"/>
      <c r="HJG69" s="144"/>
      <c r="HJH69" s="143"/>
      <c r="HJI69" s="145"/>
      <c r="HJJ69" s="143"/>
      <c r="HJK69" s="145"/>
      <c r="HJL69" s="146"/>
      <c r="HJM69" s="147"/>
      <c r="HJN69"/>
      <c r="HJO69" s="148"/>
      <c r="HJP69"/>
      <c r="HJQ69" s="140"/>
      <c r="HJR69" s="149"/>
      <c r="HJS69"/>
      <c r="HJT69" s="142"/>
      <c r="HJU69" s="143"/>
      <c r="HJV69" s="144"/>
      <c r="HJW69" s="144"/>
      <c r="HJX69" s="143"/>
      <c r="HJY69" s="145"/>
      <c r="HJZ69" s="143"/>
      <c r="HKA69" s="145"/>
      <c r="HKB69" s="146"/>
      <c r="HKC69" s="147"/>
      <c r="HKD69"/>
      <c r="HKE69" s="148"/>
      <c r="HKF69"/>
      <c r="HKG69" s="140"/>
      <c r="HKH69" s="149"/>
      <c r="HKI69"/>
      <c r="HKJ69" s="142"/>
      <c r="HKK69" s="143"/>
      <c r="HKL69" s="144"/>
      <c r="HKM69" s="144"/>
      <c r="HKN69" s="143"/>
      <c r="HKO69" s="145"/>
      <c r="HKP69" s="143"/>
      <c r="HKQ69" s="145"/>
      <c r="HKR69" s="146"/>
      <c r="HKS69" s="147"/>
      <c r="HKT69"/>
      <c r="HKU69" s="148"/>
      <c r="HKV69"/>
      <c r="HKW69" s="140"/>
      <c r="HKX69" s="149"/>
      <c r="HKY69"/>
      <c r="HKZ69" s="142"/>
      <c r="HLA69" s="143"/>
      <c r="HLB69" s="144"/>
      <c r="HLC69" s="144"/>
      <c r="HLD69" s="143"/>
      <c r="HLE69" s="145"/>
      <c r="HLF69" s="143"/>
      <c r="HLG69" s="145"/>
      <c r="HLH69" s="146"/>
      <c r="HLI69" s="147"/>
      <c r="HLJ69"/>
      <c r="HLK69" s="148"/>
      <c r="HLL69"/>
      <c r="HLM69" s="140"/>
      <c r="HLN69" s="149"/>
      <c r="HLO69"/>
      <c r="HLP69" s="142"/>
      <c r="HLQ69" s="143"/>
      <c r="HLR69" s="144"/>
      <c r="HLS69" s="144"/>
      <c r="HLT69" s="143"/>
      <c r="HLU69" s="145"/>
      <c r="HLV69" s="143"/>
      <c r="HLW69" s="145"/>
      <c r="HLX69" s="146"/>
      <c r="HLY69" s="147"/>
      <c r="HLZ69"/>
      <c r="HMA69" s="148"/>
      <c r="HMB69"/>
      <c r="HMC69" s="140"/>
      <c r="HMD69" s="149"/>
      <c r="HME69"/>
      <c r="HMF69" s="142"/>
      <c r="HMG69" s="143"/>
      <c r="HMH69" s="144"/>
      <c r="HMI69" s="144"/>
      <c r="HMJ69" s="143"/>
      <c r="HMK69" s="145"/>
      <c r="HML69" s="143"/>
      <c r="HMM69" s="145"/>
      <c r="HMN69" s="146"/>
      <c r="HMO69" s="147"/>
      <c r="HMP69"/>
      <c r="HMQ69" s="148"/>
      <c r="HMR69"/>
      <c r="HMS69" s="140"/>
      <c r="HMT69" s="149"/>
      <c r="HMU69"/>
      <c r="HMV69" s="142"/>
      <c r="HMW69" s="143"/>
      <c r="HMX69" s="144"/>
      <c r="HMY69" s="144"/>
      <c r="HMZ69" s="143"/>
      <c r="HNA69" s="145"/>
      <c r="HNB69" s="143"/>
      <c r="HNC69" s="145"/>
      <c r="HND69" s="146"/>
      <c r="HNE69" s="147"/>
      <c r="HNF69"/>
      <c r="HNG69" s="148"/>
      <c r="HNH69"/>
      <c r="HNI69" s="140"/>
      <c r="HNJ69" s="149"/>
      <c r="HNK69"/>
      <c r="HNL69" s="142"/>
      <c r="HNM69" s="143"/>
      <c r="HNN69" s="144"/>
      <c r="HNO69" s="144"/>
      <c r="HNP69" s="143"/>
      <c r="HNQ69" s="145"/>
      <c r="HNR69" s="143"/>
      <c r="HNS69" s="145"/>
      <c r="HNT69" s="146"/>
      <c r="HNU69" s="147"/>
      <c r="HNV69"/>
      <c r="HNW69" s="148"/>
      <c r="HNX69"/>
      <c r="HNY69" s="140"/>
      <c r="HNZ69" s="149"/>
      <c r="HOA69"/>
      <c r="HOB69" s="142"/>
      <c r="HOC69" s="143"/>
      <c r="HOD69" s="144"/>
      <c r="HOE69" s="144"/>
      <c r="HOF69" s="143"/>
      <c r="HOG69" s="145"/>
      <c r="HOH69" s="143"/>
      <c r="HOI69" s="145"/>
      <c r="HOJ69" s="146"/>
      <c r="HOK69" s="147"/>
      <c r="HOL69"/>
      <c r="HOM69" s="148"/>
      <c r="HON69"/>
      <c r="HOO69" s="140"/>
      <c r="HOP69" s="149"/>
      <c r="HOQ69"/>
      <c r="HOR69" s="142"/>
      <c r="HOS69" s="143"/>
      <c r="HOT69" s="144"/>
      <c r="HOU69" s="144"/>
      <c r="HOV69" s="143"/>
      <c r="HOW69" s="145"/>
      <c r="HOX69" s="143"/>
      <c r="HOY69" s="145"/>
      <c r="HOZ69" s="146"/>
      <c r="HPA69" s="147"/>
      <c r="HPB69"/>
      <c r="HPC69" s="148"/>
      <c r="HPD69"/>
      <c r="HPE69" s="140"/>
      <c r="HPF69" s="149"/>
      <c r="HPG69"/>
      <c r="HPH69" s="142"/>
      <c r="HPI69" s="143"/>
      <c r="HPJ69" s="144"/>
      <c r="HPK69" s="144"/>
      <c r="HPL69" s="143"/>
      <c r="HPM69" s="145"/>
      <c r="HPN69" s="143"/>
      <c r="HPO69" s="145"/>
      <c r="HPP69" s="146"/>
      <c r="HPQ69" s="147"/>
      <c r="HPR69"/>
      <c r="HPS69" s="148"/>
      <c r="HPT69"/>
      <c r="HPU69" s="140"/>
      <c r="HPV69" s="149"/>
      <c r="HPW69"/>
      <c r="HPX69" s="142"/>
      <c r="HPY69" s="143"/>
      <c r="HPZ69" s="144"/>
      <c r="HQA69" s="144"/>
      <c r="HQB69" s="143"/>
      <c r="HQC69" s="145"/>
      <c r="HQD69" s="143"/>
      <c r="HQE69" s="145"/>
      <c r="HQF69" s="146"/>
      <c r="HQG69" s="147"/>
      <c r="HQH69"/>
      <c r="HQI69" s="148"/>
      <c r="HQJ69"/>
      <c r="HQK69" s="140"/>
      <c r="HQL69" s="149"/>
      <c r="HQM69"/>
      <c r="HQN69" s="142"/>
      <c r="HQO69" s="143"/>
      <c r="HQP69" s="144"/>
      <c r="HQQ69" s="144"/>
      <c r="HQR69" s="143"/>
      <c r="HQS69" s="145"/>
      <c r="HQT69" s="143"/>
      <c r="HQU69" s="145"/>
      <c r="HQV69" s="146"/>
      <c r="HQW69" s="147"/>
      <c r="HQX69"/>
      <c r="HQY69" s="148"/>
      <c r="HQZ69"/>
      <c r="HRA69" s="140"/>
      <c r="HRB69" s="149"/>
      <c r="HRC69"/>
      <c r="HRD69" s="142"/>
      <c r="HRE69" s="143"/>
      <c r="HRF69" s="144"/>
      <c r="HRG69" s="144"/>
      <c r="HRH69" s="143"/>
      <c r="HRI69" s="145"/>
      <c r="HRJ69" s="143"/>
      <c r="HRK69" s="145"/>
      <c r="HRL69" s="146"/>
      <c r="HRM69" s="147"/>
      <c r="HRN69"/>
      <c r="HRO69" s="148"/>
      <c r="HRP69"/>
      <c r="HRQ69" s="140"/>
      <c r="HRR69" s="149"/>
      <c r="HRS69"/>
      <c r="HRT69" s="142"/>
      <c r="HRU69" s="143"/>
      <c r="HRV69" s="144"/>
      <c r="HRW69" s="144"/>
      <c r="HRX69" s="143"/>
      <c r="HRY69" s="145"/>
      <c r="HRZ69" s="143"/>
      <c r="HSA69" s="145"/>
      <c r="HSB69" s="146"/>
      <c r="HSC69" s="147"/>
      <c r="HSD69"/>
      <c r="HSE69" s="148"/>
      <c r="HSF69"/>
      <c r="HSG69" s="140"/>
      <c r="HSH69" s="149"/>
      <c r="HSI69"/>
      <c r="HSJ69" s="142"/>
      <c r="HSK69" s="143"/>
      <c r="HSL69" s="144"/>
      <c r="HSM69" s="144"/>
      <c r="HSN69" s="143"/>
      <c r="HSO69" s="145"/>
      <c r="HSP69" s="143"/>
      <c r="HSQ69" s="145"/>
      <c r="HSR69" s="146"/>
      <c r="HSS69" s="147"/>
      <c r="HST69"/>
      <c r="HSU69" s="148"/>
      <c r="HSV69"/>
      <c r="HSW69" s="140"/>
      <c r="HSX69" s="149"/>
      <c r="HSY69"/>
      <c r="HSZ69" s="142"/>
      <c r="HTA69" s="143"/>
      <c r="HTB69" s="144"/>
      <c r="HTC69" s="144"/>
      <c r="HTD69" s="143"/>
      <c r="HTE69" s="145"/>
      <c r="HTF69" s="143"/>
      <c r="HTG69" s="145"/>
      <c r="HTH69" s="146"/>
      <c r="HTI69" s="147"/>
      <c r="HTJ69"/>
      <c r="HTK69" s="148"/>
      <c r="HTL69"/>
      <c r="HTM69" s="140"/>
      <c r="HTN69" s="149"/>
      <c r="HTO69"/>
      <c r="HTP69" s="142"/>
      <c r="HTQ69" s="143"/>
      <c r="HTR69" s="144"/>
      <c r="HTS69" s="144"/>
      <c r="HTT69" s="143"/>
      <c r="HTU69" s="145"/>
      <c r="HTV69" s="143"/>
      <c r="HTW69" s="145"/>
      <c r="HTX69" s="146"/>
      <c r="HTY69" s="147"/>
      <c r="HTZ69"/>
      <c r="HUA69" s="148"/>
      <c r="HUB69"/>
      <c r="HUC69" s="140"/>
      <c r="HUD69" s="149"/>
      <c r="HUE69"/>
      <c r="HUF69" s="142"/>
      <c r="HUG69" s="143"/>
      <c r="HUH69" s="144"/>
      <c r="HUI69" s="144"/>
      <c r="HUJ69" s="143"/>
      <c r="HUK69" s="145"/>
      <c r="HUL69" s="143"/>
      <c r="HUM69" s="145"/>
      <c r="HUN69" s="146"/>
      <c r="HUO69" s="147"/>
      <c r="HUP69"/>
      <c r="HUQ69" s="148"/>
      <c r="HUR69"/>
      <c r="HUS69" s="140"/>
      <c r="HUT69" s="149"/>
      <c r="HUU69"/>
      <c r="HUV69" s="142"/>
      <c r="HUW69" s="143"/>
      <c r="HUX69" s="144"/>
      <c r="HUY69" s="144"/>
      <c r="HUZ69" s="143"/>
      <c r="HVA69" s="145"/>
      <c r="HVB69" s="143"/>
      <c r="HVC69" s="145"/>
      <c r="HVD69" s="146"/>
      <c r="HVE69" s="147"/>
      <c r="HVF69"/>
      <c r="HVG69" s="148"/>
      <c r="HVH69"/>
      <c r="HVI69" s="140"/>
      <c r="HVJ69" s="149"/>
      <c r="HVK69"/>
      <c r="HVL69" s="142"/>
      <c r="HVM69" s="143"/>
      <c r="HVN69" s="144"/>
      <c r="HVO69" s="144"/>
      <c r="HVP69" s="143"/>
      <c r="HVQ69" s="145"/>
      <c r="HVR69" s="143"/>
      <c r="HVS69" s="145"/>
      <c r="HVT69" s="146"/>
      <c r="HVU69" s="147"/>
      <c r="HVV69"/>
      <c r="HVW69" s="148"/>
      <c r="HVX69"/>
      <c r="HVY69" s="140"/>
      <c r="HVZ69" s="149"/>
      <c r="HWA69"/>
      <c r="HWB69" s="142"/>
      <c r="HWC69" s="143"/>
      <c r="HWD69" s="144"/>
      <c r="HWE69" s="144"/>
      <c r="HWF69" s="143"/>
      <c r="HWG69" s="145"/>
      <c r="HWH69" s="143"/>
      <c r="HWI69" s="145"/>
      <c r="HWJ69" s="146"/>
      <c r="HWK69" s="147"/>
      <c r="HWL69"/>
      <c r="HWM69" s="148"/>
      <c r="HWN69"/>
      <c r="HWO69" s="140"/>
      <c r="HWP69" s="149"/>
      <c r="HWQ69"/>
      <c r="HWR69" s="142"/>
      <c r="HWS69" s="143"/>
      <c r="HWT69" s="144"/>
      <c r="HWU69" s="144"/>
      <c r="HWV69" s="143"/>
      <c r="HWW69" s="145"/>
      <c r="HWX69" s="143"/>
      <c r="HWY69" s="145"/>
      <c r="HWZ69" s="146"/>
      <c r="HXA69" s="147"/>
      <c r="HXB69"/>
      <c r="HXC69" s="148"/>
      <c r="HXD69"/>
      <c r="HXE69" s="140"/>
      <c r="HXF69" s="149"/>
      <c r="HXG69"/>
      <c r="HXH69" s="142"/>
      <c r="HXI69" s="143"/>
      <c r="HXJ69" s="144"/>
      <c r="HXK69" s="144"/>
      <c r="HXL69" s="143"/>
      <c r="HXM69" s="145"/>
      <c r="HXN69" s="143"/>
      <c r="HXO69" s="145"/>
      <c r="HXP69" s="146"/>
      <c r="HXQ69" s="147"/>
      <c r="HXR69"/>
      <c r="HXS69" s="148"/>
      <c r="HXT69"/>
      <c r="HXU69" s="140"/>
      <c r="HXV69" s="149"/>
      <c r="HXW69"/>
      <c r="HXX69" s="142"/>
      <c r="HXY69" s="143"/>
      <c r="HXZ69" s="144"/>
      <c r="HYA69" s="144"/>
      <c r="HYB69" s="143"/>
      <c r="HYC69" s="145"/>
      <c r="HYD69" s="143"/>
      <c r="HYE69" s="145"/>
      <c r="HYF69" s="146"/>
      <c r="HYG69" s="147"/>
      <c r="HYH69"/>
      <c r="HYI69" s="148"/>
      <c r="HYJ69"/>
      <c r="HYK69" s="140"/>
      <c r="HYL69" s="149"/>
      <c r="HYM69"/>
      <c r="HYN69" s="142"/>
      <c r="HYO69" s="143"/>
      <c r="HYP69" s="144"/>
      <c r="HYQ69" s="144"/>
      <c r="HYR69" s="143"/>
      <c r="HYS69" s="145"/>
      <c r="HYT69" s="143"/>
      <c r="HYU69" s="145"/>
      <c r="HYV69" s="146"/>
      <c r="HYW69" s="147"/>
      <c r="HYX69"/>
      <c r="HYY69" s="148"/>
      <c r="HYZ69"/>
      <c r="HZA69" s="140"/>
      <c r="HZB69" s="149"/>
      <c r="HZC69"/>
      <c r="HZD69" s="142"/>
      <c r="HZE69" s="143"/>
      <c r="HZF69" s="144"/>
      <c r="HZG69" s="144"/>
      <c r="HZH69" s="143"/>
      <c r="HZI69" s="145"/>
      <c r="HZJ69" s="143"/>
      <c r="HZK69" s="145"/>
      <c r="HZL69" s="146"/>
      <c r="HZM69" s="147"/>
      <c r="HZN69"/>
      <c r="HZO69" s="148"/>
      <c r="HZP69"/>
      <c r="HZQ69" s="140"/>
      <c r="HZR69" s="149"/>
      <c r="HZS69"/>
      <c r="HZT69" s="142"/>
      <c r="HZU69" s="143"/>
      <c r="HZV69" s="144"/>
      <c r="HZW69" s="144"/>
      <c r="HZX69" s="143"/>
      <c r="HZY69" s="145"/>
      <c r="HZZ69" s="143"/>
      <c r="IAA69" s="145"/>
      <c r="IAB69" s="146"/>
      <c r="IAC69" s="147"/>
      <c r="IAD69"/>
      <c r="IAE69" s="148"/>
      <c r="IAF69"/>
      <c r="IAG69" s="140"/>
      <c r="IAH69" s="149"/>
      <c r="IAI69"/>
      <c r="IAJ69" s="142"/>
      <c r="IAK69" s="143"/>
      <c r="IAL69" s="144"/>
      <c r="IAM69" s="144"/>
      <c r="IAN69" s="143"/>
      <c r="IAO69" s="145"/>
      <c r="IAP69" s="143"/>
      <c r="IAQ69" s="145"/>
      <c r="IAR69" s="146"/>
      <c r="IAS69" s="147"/>
      <c r="IAT69"/>
      <c r="IAU69" s="148"/>
      <c r="IAV69"/>
      <c r="IAW69" s="140"/>
      <c r="IAX69" s="149"/>
      <c r="IAY69"/>
      <c r="IAZ69" s="142"/>
      <c r="IBA69" s="143"/>
      <c r="IBB69" s="144"/>
      <c r="IBC69" s="144"/>
      <c r="IBD69" s="143"/>
      <c r="IBE69" s="145"/>
      <c r="IBF69" s="143"/>
      <c r="IBG69" s="145"/>
      <c r="IBH69" s="146"/>
      <c r="IBI69" s="147"/>
      <c r="IBJ69"/>
      <c r="IBK69" s="148"/>
      <c r="IBL69"/>
      <c r="IBM69" s="140"/>
      <c r="IBN69" s="149"/>
      <c r="IBO69"/>
      <c r="IBP69" s="142"/>
      <c r="IBQ69" s="143"/>
      <c r="IBR69" s="144"/>
      <c r="IBS69" s="144"/>
      <c r="IBT69" s="143"/>
      <c r="IBU69" s="145"/>
      <c r="IBV69" s="143"/>
      <c r="IBW69" s="145"/>
      <c r="IBX69" s="146"/>
      <c r="IBY69" s="147"/>
      <c r="IBZ69"/>
      <c r="ICA69" s="148"/>
      <c r="ICB69"/>
      <c r="ICC69" s="140"/>
      <c r="ICD69" s="149"/>
      <c r="ICE69"/>
      <c r="ICF69" s="142"/>
      <c r="ICG69" s="143"/>
      <c r="ICH69" s="144"/>
      <c r="ICI69" s="144"/>
      <c r="ICJ69" s="143"/>
      <c r="ICK69" s="145"/>
      <c r="ICL69" s="143"/>
      <c r="ICM69" s="145"/>
      <c r="ICN69" s="146"/>
      <c r="ICO69" s="147"/>
      <c r="ICP69"/>
      <c r="ICQ69" s="148"/>
      <c r="ICR69"/>
      <c r="ICS69" s="140"/>
      <c r="ICT69" s="149"/>
      <c r="ICU69"/>
      <c r="ICV69" s="142"/>
      <c r="ICW69" s="143"/>
      <c r="ICX69" s="144"/>
      <c r="ICY69" s="144"/>
      <c r="ICZ69" s="143"/>
      <c r="IDA69" s="145"/>
      <c r="IDB69" s="143"/>
      <c r="IDC69" s="145"/>
      <c r="IDD69" s="146"/>
      <c r="IDE69" s="147"/>
      <c r="IDF69"/>
      <c r="IDG69" s="148"/>
      <c r="IDH69"/>
      <c r="IDI69" s="140"/>
      <c r="IDJ69" s="149"/>
      <c r="IDK69"/>
      <c r="IDL69" s="142"/>
      <c r="IDM69" s="143"/>
      <c r="IDN69" s="144"/>
      <c r="IDO69" s="144"/>
      <c r="IDP69" s="143"/>
      <c r="IDQ69" s="145"/>
      <c r="IDR69" s="143"/>
      <c r="IDS69" s="145"/>
      <c r="IDT69" s="146"/>
      <c r="IDU69" s="147"/>
      <c r="IDV69"/>
      <c r="IDW69" s="148"/>
      <c r="IDX69"/>
      <c r="IDY69" s="140"/>
      <c r="IDZ69" s="149"/>
      <c r="IEA69"/>
      <c r="IEB69" s="142"/>
      <c r="IEC69" s="143"/>
      <c r="IED69" s="144"/>
      <c r="IEE69" s="144"/>
      <c r="IEF69" s="143"/>
      <c r="IEG69" s="145"/>
      <c r="IEH69" s="143"/>
      <c r="IEI69" s="145"/>
      <c r="IEJ69" s="146"/>
      <c r="IEK69" s="147"/>
      <c r="IEL69"/>
      <c r="IEM69" s="148"/>
      <c r="IEN69"/>
      <c r="IEO69" s="140"/>
      <c r="IEP69" s="149"/>
      <c r="IEQ69"/>
      <c r="IER69" s="142"/>
      <c r="IES69" s="143"/>
      <c r="IET69" s="144"/>
      <c r="IEU69" s="144"/>
      <c r="IEV69" s="143"/>
      <c r="IEW69" s="145"/>
      <c r="IEX69" s="143"/>
      <c r="IEY69" s="145"/>
      <c r="IEZ69" s="146"/>
      <c r="IFA69" s="147"/>
      <c r="IFB69"/>
      <c r="IFC69" s="148"/>
      <c r="IFD69"/>
      <c r="IFE69" s="140"/>
      <c r="IFF69" s="149"/>
      <c r="IFG69"/>
      <c r="IFH69" s="142"/>
      <c r="IFI69" s="143"/>
      <c r="IFJ69" s="144"/>
      <c r="IFK69" s="144"/>
      <c r="IFL69" s="143"/>
      <c r="IFM69" s="145"/>
      <c r="IFN69" s="143"/>
      <c r="IFO69" s="145"/>
      <c r="IFP69" s="146"/>
      <c r="IFQ69" s="147"/>
      <c r="IFR69"/>
      <c r="IFS69" s="148"/>
      <c r="IFT69"/>
      <c r="IFU69" s="140"/>
      <c r="IFV69" s="149"/>
      <c r="IFW69"/>
      <c r="IFX69" s="142"/>
      <c r="IFY69" s="143"/>
      <c r="IFZ69" s="144"/>
      <c r="IGA69" s="144"/>
      <c r="IGB69" s="143"/>
      <c r="IGC69" s="145"/>
      <c r="IGD69" s="143"/>
      <c r="IGE69" s="145"/>
      <c r="IGF69" s="146"/>
      <c r="IGG69" s="147"/>
      <c r="IGH69"/>
      <c r="IGI69" s="148"/>
      <c r="IGJ69"/>
      <c r="IGK69" s="140"/>
      <c r="IGL69" s="149"/>
      <c r="IGM69"/>
      <c r="IGN69" s="142"/>
      <c r="IGO69" s="143"/>
      <c r="IGP69" s="144"/>
      <c r="IGQ69" s="144"/>
      <c r="IGR69" s="143"/>
      <c r="IGS69" s="145"/>
      <c r="IGT69" s="143"/>
      <c r="IGU69" s="145"/>
      <c r="IGV69" s="146"/>
      <c r="IGW69" s="147"/>
      <c r="IGX69"/>
      <c r="IGY69" s="148"/>
      <c r="IGZ69"/>
      <c r="IHA69" s="140"/>
      <c r="IHB69" s="149"/>
      <c r="IHC69"/>
      <c r="IHD69" s="142"/>
      <c r="IHE69" s="143"/>
      <c r="IHF69" s="144"/>
      <c r="IHG69" s="144"/>
      <c r="IHH69" s="143"/>
      <c r="IHI69" s="145"/>
      <c r="IHJ69" s="143"/>
      <c r="IHK69" s="145"/>
      <c r="IHL69" s="146"/>
      <c r="IHM69" s="147"/>
      <c r="IHN69"/>
      <c r="IHO69" s="148"/>
      <c r="IHP69"/>
      <c r="IHQ69" s="140"/>
      <c r="IHR69" s="149"/>
      <c r="IHS69"/>
      <c r="IHT69" s="142"/>
      <c r="IHU69" s="143"/>
      <c r="IHV69" s="144"/>
      <c r="IHW69" s="144"/>
      <c r="IHX69" s="143"/>
      <c r="IHY69" s="145"/>
      <c r="IHZ69" s="143"/>
      <c r="IIA69" s="145"/>
      <c r="IIB69" s="146"/>
      <c r="IIC69" s="147"/>
      <c r="IID69"/>
      <c r="IIE69" s="148"/>
      <c r="IIF69"/>
      <c r="IIG69" s="140"/>
      <c r="IIH69" s="149"/>
      <c r="III69"/>
      <c r="IIJ69" s="142"/>
      <c r="IIK69" s="143"/>
      <c r="IIL69" s="144"/>
      <c r="IIM69" s="144"/>
      <c r="IIN69" s="143"/>
      <c r="IIO69" s="145"/>
      <c r="IIP69" s="143"/>
      <c r="IIQ69" s="145"/>
      <c r="IIR69" s="146"/>
      <c r="IIS69" s="147"/>
      <c r="IIT69"/>
      <c r="IIU69" s="148"/>
      <c r="IIV69"/>
      <c r="IIW69" s="140"/>
      <c r="IIX69" s="149"/>
      <c r="IIY69"/>
      <c r="IIZ69" s="142"/>
      <c r="IJA69" s="143"/>
      <c r="IJB69" s="144"/>
      <c r="IJC69" s="144"/>
      <c r="IJD69" s="143"/>
      <c r="IJE69" s="145"/>
      <c r="IJF69" s="143"/>
      <c r="IJG69" s="145"/>
      <c r="IJH69" s="146"/>
      <c r="IJI69" s="147"/>
      <c r="IJJ69"/>
      <c r="IJK69" s="148"/>
      <c r="IJL69"/>
      <c r="IJM69" s="140"/>
      <c r="IJN69" s="149"/>
      <c r="IJO69"/>
      <c r="IJP69" s="142"/>
      <c r="IJQ69" s="143"/>
      <c r="IJR69" s="144"/>
      <c r="IJS69" s="144"/>
      <c r="IJT69" s="143"/>
      <c r="IJU69" s="145"/>
      <c r="IJV69" s="143"/>
      <c r="IJW69" s="145"/>
      <c r="IJX69" s="146"/>
      <c r="IJY69" s="147"/>
      <c r="IJZ69"/>
      <c r="IKA69" s="148"/>
      <c r="IKB69"/>
      <c r="IKC69" s="140"/>
      <c r="IKD69" s="149"/>
      <c r="IKE69"/>
      <c r="IKF69" s="142"/>
      <c r="IKG69" s="143"/>
      <c r="IKH69" s="144"/>
      <c r="IKI69" s="144"/>
      <c r="IKJ69" s="143"/>
      <c r="IKK69" s="145"/>
      <c r="IKL69" s="143"/>
      <c r="IKM69" s="145"/>
      <c r="IKN69" s="146"/>
      <c r="IKO69" s="147"/>
      <c r="IKP69"/>
      <c r="IKQ69" s="148"/>
      <c r="IKR69"/>
      <c r="IKS69" s="140"/>
      <c r="IKT69" s="149"/>
      <c r="IKU69"/>
      <c r="IKV69" s="142"/>
      <c r="IKW69" s="143"/>
      <c r="IKX69" s="144"/>
      <c r="IKY69" s="144"/>
      <c r="IKZ69" s="143"/>
      <c r="ILA69" s="145"/>
      <c r="ILB69" s="143"/>
      <c r="ILC69" s="145"/>
      <c r="ILD69" s="146"/>
      <c r="ILE69" s="147"/>
      <c r="ILF69"/>
      <c r="ILG69" s="148"/>
      <c r="ILH69"/>
      <c r="ILI69" s="140"/>
      <c r="ILJ69" s="149"/>
      <c r="ILK69"/>
      <c r="ILL69" s="142"/>
      <c r="ILM69" s="143"/>
      <c r="ILN69" s="144"/>
      <c r="ILO69" s="144"/>
      <c r="ILP69" s="143"/>
      <c r="ILQ69" s="145"/>
      <c r="ILR69" s="143"/>
      <c r="ILS69" s="145"/>
      <c r="ILT69" s="146"/>
      <c r="ILU69" s="147"/>
      <c r="ILV69"/>
      <c r="ILW69" s="148"/>
      <c r="ILX69"/>
      <c r="ILY69" s="140"/>
      <c r="ILZ69" s="149"/>
      <c r="IMA69"/>
      <c r="IMB69" s="142"/>
      <c r="IMC69" s="143"/>
      <c r="IMD69" s="144"/>
      <c r="IME69" s="144"/>
      <c r="IMF69" s="143"/>
      <c r="IMG69" s="145"/>
      <c r="IMH69" s="143"/>
      <c r="IMI69" s="145"/>
      <c r="IMJ69" s="146"/>
      <c r="IMK69" s="147"/>
      <c r="IML69"/>
      <c r="IMM69" s="148"/>
      <c r="IMN69"/>
      <c r="IMO69" s="140"/>
      <c r="IMP69" s="149"/>
      <c r="IMQ69"/>
      <c r="IMR69" s="142"/>
      <c r="IMS69" s="143"/>
      <c r="IMT69" s="144"/>
      <c r="IMU69" s="144"/>
      <c r="IMV69" s="143"/>
      <c r="IMW69" s="145"/>
      <c r="IMX69" s="143"/>
      <c r="IMY69" s="145"/>
      <c r="IMZ69" s="146"/>
      <c r="INA69" s="147"/>
      <c r="INB69"/>
      <c r="INC69" s="148"/>
      <c r="IND69"/>
      <c r="INE69" s="140"/>
      <c r="INF69" s="149"/>
      <c r="ING69"/>
      <c r="INH69" s="142"/>
      <c r="INI69" s="143"/>
      <c r="INJ69" s="144"/>
      <c r="INK69" s="144"/>
      <c r="INL69" s="143"/>
      <c r="INM69" s="145"/>
      <c r="INN69" s="143"/>
      <c r="INO69" s="145"/>
      <c r="INP69" s="146"/>
      <c r="INQ69" s="147"/>
      <c r="INR69"/>
      <c r="INS69" s="148"/>
      <c r="INT69"/>
      <c r="INU69" s="140"/>
      <c r="INV69" s="149"/>
      <c r="INW69"/>
      <c r="INX69" s="142"/>
      <c r="INY69" s="143"/>
      <c r="INZ69" s="144"/>
      <c r="IOA69" s="144"/>
      <c r="IOB69" s="143"/>
      <c r="IOC69" s="145"/>
      <c r="IOD69" s="143"/>
      <c r="IOE69" s="145"/>
      <c r="IOF69" s="146"/>
      <c r="IOG69" s="147"/>
      <c r="IOH69"/>
      <c r="IOI69" s="148"/>
      <c r="IOJ69"/>
      <c r="IOK69" s="140"/>
      <c r="IOL69" s="149"/>
      <c r="IOM69"/>
      <c r="ION69" s="142"/>
      <c r="IOO69" s="143"/>
      <c r="IOP69" s="144"/>
      <c r="IOQ69" s="144"/>
      <c r="IOR69" s="143"/>
      <c r="IOS69" s="145"/>
      <c r="IOT69" s="143"/>
      <c r="IOU69" s="145"/>
      <c r="IOV69" s="146"/>
      <c r="IOW69" s="147"/>
      <c r="IOX69"/>
      <c r="IOY69" s="148"/>
      <c r="IOZ69"/>
      <c r="IPA69" s="140"/>
      <c r="IPB69" s="149"/>
      <c r="IPC69"/>
      <c r="IPD69" s="142"/>
      <c r="IPE69" s="143"/>
      <c r="IPF69" s="144"/>
      <c r="IPG69" s="144"/>
      <c r="IPH69" s="143"/>
      <c r="IPI69" s="145"/>
      <c r="IPJ69" s="143"/>
      <c r="IPK69" s="145"/>
      <c r="IPL69" s="146"/>
      <c r="IPM69" s="147"/>
      <c r="IPN69"/>
      <c r="IPO69" s="148"/>
      <c r="IPP69"/>
      <c r="IPQ69" s="140"/>
      <c r="IPR69" s="149"/>
      <c r="IPS69"/>
      <c r="IPT69" s="142"/>
      <c r="IPU69" s="143"/>
      <c r="IPV69" s="144"/>
      <c r="IPW69" s="144"/>
      <c r="IPX69" s="143"/>
      <c r="IPY69" s="145"/>
      <c r="IPZ69" s="143"/>
      <c r="IQA69" s="145"/>
      <c r="IQB69" s="146"/>
      <c r="IQC69" s="147"/>
      <c r="IQD69"/>
      <c r="IQE69" s="148"/>
      <c r="IQF69"/>
      <c r="IQG69" s="140"/>
      <c r="IQH69" s="149"/>
      <c r="IQI69"/>
      <c r="IQJ69" s="142"/>
      <c r="IQK69" s="143"/>
      <c r="IQL69" s="144"/>
      <c r="IQM69" s="144"/>
      <c r="IQN69" s="143"/>
      <c r="IQO69" s="145"/>
      <c r="IQP69" s="143"/>
      <c r="IQQ69" s="145"/>
      <c r="IQR69" s="146"/>
      <c r="IQS69" s="147"/>
      <c r="IQT69"/>
      <c r="IQU69" s="148"/>
      <c r="IQV69"/>
      <c r="IQW69" s="140"/>
      <c r="IQX69" s="149"/>
      <c r="IQY69"/>
      <c r="IQZ69" s="142"/>
      <c r="IRA69" s="143"/>
      <c r="IRB69" s="144"/>
      <c r="IRC69" s="144"/>
      <c r="IRD69" s="143"/>
      <c r="IRE69" s="145"/>
      <c r="IRF69" s="143"/>
      <c r="IRG69" s="145"/>
      <c r="IRH69" s="146"/>
      <c r="IRI69" s="147"/>
      <c r="IRJ69"/>
      <c r="IRK69" s="148"/>
      <c r="IRL69"/>
      <c r="IRM69" s="140"/>
      <c r="IRN69" s="149"/>
      <c r="IRO69"/>
      <c r="IRP69" s="142"/>
      <c r="IRQ69" s="143"/>
      <c r="IRR69" s="144"/>
      <c r="IRS69" s="144"/>
      <c r="IRT69" s="143"/>
      <c r="IRU69" s="145"/>
      <c r="IRV69" s="143"/>
      <c r="IRW69" s="145"/>
      <c r="IRX69" s="146"/>
      <c r="IRY69" s="147"/>
      <c r="IRZ69"/>
      <c r="ISA69" s="148"/>
      <c r="ISB69"/>
      <c r="ISC69" s="140"/>
      <c r="ISD69" s="149"/>
      <c r="ISE69"/>
      <c r="ISF69" s="142"/>
      <c r="ISG69" s="143"/>
      <c r="ISH69" s="144"/>
      <c r="ISI69" s="144"/>
      <c r="ISJ69" s="143"/>
      <c r="ISK69" s="145"/>
      <c r="ISL69" s="143"/>
      <c r="ISM69" s="145"/>
      <c r="ISN69" s="146"/>
      <c r="ISO69" s="147"/>
      <c r="ISP69"/>
      <c r="ISQ69" s="148"/>
      <c r="ISR69"/>
      <c r="ISS69" s="140"/>
      <c r="IST69" s="149"/>
      <c r="ISU69"/>
      <c r="ISV69" s="142"/>
      <c r="ISW69" s="143"/>
      <c r="ISX69" s="144"/>
      <c r="ISY69" s="144"/>
      <c r="ISZ69" s="143"/>
      <c r="ITA69" s="145"/>
      <c r="ITB69" s="143"/>
      <c r="ITC69" s="145"/>
      <c r="ITD69" s="146"/>
      <c r="ITE69" s="147"/>
      <c r="ITF69"/>
      <c r="ITG69" s="148"/>
      <c r="ITH69"/>
      <c r="ITI69" s="140"/>
      <c r="ITJ69" s="149"/>
      <c r="ITK69"/>
      <c r="ITL69" s="142"/>
      <c r="ITM69" s="143"/>
      <c r="ITN69" s="144"/>
      <c r="ITO69" s="144"/>
      <c r="ITP69" s="143"/>
      <c r="ITQ69" s="145"/>
      <c r="ITR69" s="143"/>
      <c r="ITS69" s="145"/>
      <c r="ITT69" s="146"/>
      <c r="ITU69" s="147"/>
      <c r="ITV69"/>
      <c r="ITW69" s="148"/>
      <c r="ITX69"/>
      <c r="ITY69" s="140"/>
      <c r="ITZ69" s="149"/>
      <c r="IUA69"/>
      <c r="IUB69" s="142"/>
      <c r="IUC69" s="143"/>
      <c r="IUD69" s="144"/>
      <c r="IUE69" s="144"/>
      <c r="IUF69" s="143"/>
      <c r="IUG69" s="145"/>
      <c r="IUH69" s="143"/>
      <c r="IUI69" s="145"/>
      <c r="IUJ69" s="146"/>
      <c r="IUK69" s="147"/>
      <c r="IUL69"/>
      <c r="IUM69" s="148"/>
      <c r="IUN69"/>
      <c r="IUO69" s="140"/>
      <c r="IUP69" s="149"/>
      <c r="IUQ69"/>
      <c r="IUR69" s="142"/>
      <c r="IUS69" s="143"/>
      <c r="IUT69" s="144"/>
      <c r="IUU69" s="144"/>
      <c r="IUV69" s="143"/>
      <c r="IUW69" s="145"/>
      <c r="IUX69" s="143"/>
      <c r="IUY69" s="145"/>
      <c r="IUZ69" s="146"/>
      <c r="IVA69" s="147"/>
      <c r="IVB69"/>
      <c r="IVC69" s="148"/>
      <c r="IVD69"/>
      <c r="IVE69" s="140"/>
      <c r="IVF69" s="149"/>
      <c r="IVG69"/>
      <c r="IVH69" s="142"/>
      <c r="IVI69" s="143"/>
      <c r="IVJ69" s="144"/>
      <c r="IVK69" s="144"/>
      <c r="IVL69" s="143"/>
      <c r="IVM69" s="145"/>
      <c r="IVN69" s="143"/>
      <c r="IVO69" s="145"/>
      <c r="IVP69" s="146"/>
      <c r="IVQ69" s="147"/>
      <c r="IVR69"/>
      <c r="IVS69" s="148"/>
      <c r="IVT69"/>
      <c r="IVU69" s="140"/>
      <c r="IVV69" s="149"/>
      <c r="IVW69"/>
      <c r="IVX69" s="142"/>
      <c r="IVY69" s="143"/>
      <c r="IVZ69" s="144"/>
      <c r="IWA69" s="144"/>
      <c r="IWB69" s="143"/>
      <c r="IWC69" s="145"/>
      <c r="IWD69" s="143"/>
      <c r="IWE69" s="145"/>
      <c r="IWF69" s="146"/>
      <c r="IWG69" s="147"/>
      <c r="IWH69"/>
      <c r="IWI69" s="148"/>
      <c r="IWJ69"/>
      <c r="IWK69" s="140"/>
      <c r="IWL69" s="149"/>
      <c r="IWM69"/>
      <c r="IWN69" s="142"/>
      <c r="IWO69" s="143"/>
      <c r="IWP69" s="144"/>
      <c r="IWQ69" s="144"/>
      <c r="IWR69" s="143"/>
      <c r="IWS69" s="145"/>
      <c r="IWT69" s="143"/>
      <c r="IWU69" s="145"/>
      <c r="IWV69" s="146"/>
      <c r="IWW69" s="147"/>
      <c r="IWX69"/>
      <c r="IWY69" s="148"/>
      <c r="IWZ69"/>
      <c r="IXA69" s="140"/>
      <c r="IXB69" s="149"/>
      <c r="IXC69"/>
      <c r="IXD69" s="142"/>
      <c r="IXE69" s="143"/>
      <c r="IXF69" s="144"/>
      <c r="IXG69" s="144"/>
      <c r="IXH69" s="143"/>
      <c r="IXI69" s="145"/>
      <c r="IXJ69" s="143"/>
      <c r="IXK69" s="145"/>
      <c r="IXL69" s="146"/>
      <c r="IXM69" s="147"/>
      <c r="IXN69"/>
      <c r="IXO69" s="148"/>
      <c r="IXP69"/>
      <c r="IXQ69" s="140"/>
      <c r="IXR69" s="149"/>
      <c r="IXS69"/>
      <c r="IXT69" s="142"/>
      <c r="IXU69" s="143"/>
      <c r="IXV69" s="144"/>
      <c r="IXW69" s="144"/>
      <c r="IXX69" s="143"/>
      <c r="IXY69" s="145"/>
      <c r="IXZ69" s="143"/>
      <c r="IYA69" s="145"/>
      <c r="IYB69" s="146"/>
      <c r="IYC69" s="147"/>
      <c r="IYD69"/>
      <c r="IYE69" s="148"/>
      <c r="IYF69"/>
      <c r="IYG69" s="140"/>
      <c r="IYH69" s="149"/>
      <c r="IYI69"/>
      <c r="IYJ69" s="142"/>
      <c r="IYK69" s="143"/>
      <c r="IYL69" s="144"/>
      <c r="IYM69" s="144"/>
      <c r="IYN69" s="143"/>
      <c r="IYO69" s="145"/>
      <c r="IYP69" s="143"/>
      <c r="IYQ69" s="145"/>
      <c r="IYR69" s="146"/>
      <c r="IYS69" s="147"/>
      <c r="IYT69"/>
      <c r="IYU69" s="148"/>
      <c r="IYV69"/>
      <c r="IYW69" s="140"/>
      <c r="IYX69" s="149"/>
      <c r="IYY69"/>
      <c r="IYZ69" s="142"/>
      <c r="IZA69" s="143"/>
      <c r="IZB69" s="144"/>
      <c r="IZC69" s="144"/>
      <c r="IZD69" s="143"/>
      <c r="IZE69" s="145"/>
      <c r="IZF69" s="143"/>
      <c r="IZG69" s="145"/>
      <c r="IZH69" s="146"/>
      <c r="IZI69" s="147"/>
      <c r="IZJ69"/>
      <c r="IZK69" s="148"/>
      <c r="IZL69"/>
      <c r="IZM69" s="140"/>
      <c r="IZN69" s="149"/>
      <c r="IZO69"/>
      <c r="IZP69" s="142"/>
      <c r="IZQ69" s="143"/>
      <c r="IZR69" s="144"/>
      <c r="IZS69" s="144"/>
      <c r="IZT69" s="143"/>
      <c r="IZU69" s="145"/>
      <c r="IZV69" s="143"/>
      <c r="IZW69" s="145"/>
      <c r="IZX69" s="146"/>
      <c r="IZY69" s="147"/>
      <c r="IZZ69"/>
      <c r="JAA69" s="148"/>
      <c r="JAB69"/>
      <c r="JAC69" s="140"/>
      <c r="JAD69" s="149"/>
      <c r="JAE69"/>
      <c r="JAF69" s="142"/>
      <c r="JAG69" s="143"/>
      <c r="JAH69" s="144"/>
      <c r="JAI69" s="144"/>
      <c r="JAJ69" s="143"/>
      <c r="JAK69" s="145"/>
      <c r="JAL69" s="143"/>
      <c r="JAM69" s="145"/>
      <c r="JAN69" s="146"/>
      <c r="JAO69" s="147"/>
      <c r="JAP69"/>
      <c r="JAQ69" s="148"/>
      <c r="JAR69"/>
      <c r="JAS69" s="140"/>
      <c r="JAT69" s="149"/>
      <c r="JAU69"/>
      <c r="JAV69" s="142"/>
      <c r="JAW69" s="143"/>
      <c r="JAX69" s="144"/>
      <c r="JAY69" s="144"/>
      <c r="JAZ69" s="143"/>
      <c r="JBA69" s="145"/>
      <c r="JBB69" s="143"/>
      <c r="JBC69" s="145"/>
      <c r="JBD69" s="146"/>
      <c r="JBE69" s="147"/>
      <c r="JBF69"/>
      <c r="JBG69" s="148"/>
      <c r="JBH69"/>
      <c r="JBI69" s="140"/>
      <c r="JBJ69" s="149"/>
      <c r="JBK69"/>
      <c r="JBL69" s="142"/>
      <c r="JBM69" s="143"/>
      <c r="JBN69" s="144"/>
      <c r="JBO69" s="144"/>
      <c r="JBP69" s="143"/>
      <c r="JBQ69" s="145"/>
      <c r="JBR69" s="143"/>
      <c r="JBS69" s="145"/>
      <c r="JBT69" s="146"/>
      <c r="JBU69" s="147"/>
      <c r="JBV69"/>
      <c r="JBW69" s="148"/>
      <c r="JBX69"/>
      <c r="JBY69" s="140"/>
      <c r="JBZ69" s="149"/>
      <c r="JCA69"/>
      <c r="JCB69" s="142"/>
      <c r="JCC69" s="143"/>
      <c r="JCD69" s="144"/>
      <c r="JCE69" s="144"/>
      <c r="JCF69" s="143"/>
      <c r="JCG69" s="145"/>
      <c r="JCH69" s="143"/>
      <c r="JCI69" s="145"/>
      <c r="JCJ69" s="146"/>
      <c r="JCK69" s="147"/>
      <c r="JCL69"/>
      <c r="JCM69" s="148"/>
      <c r="JCN69"/>
      <c r="JCO69" s="140"/>
      <c r="JCP69" s="149"/>
      <c r="JCQ69"/>
      <c r="JCR69" s="142"/>
      <c r="JCS69" s="143"/>
      <c r="JCT69" s="144"/>
      <c r="JCU69" s="144"/>
      <c r="JCV69" s="143"/>
      <c r="JCW69" s="145"/>
      <c r="JCX69" s="143"/>
      <c r="JCY69" s="145"/>
      <c r="JCZ69" s="146"/>
      <c r="JDA69" s="147"/>
      <c r="JDB69"/>
      <c r="JDC69" s="148"/>
      <c r="JDD69"/>
      <c r="JDE69" s="140"/>
      <c r="JDF69" s="149"/>
      <c r="JDG69"/>
      <c r="JDH69" s="142"/>
      <c r="JDI69" s="143"/>
      <c r="JDJ69" s="144"/>
      <c r="JDK69" s="144"/>
      <c r="JDL69" s="143"/>
      <c r="JDM69" s="145"/>
      <c r="JDN69" s="143"/>
      <c r="JDO69" s="145"/>
      <c r="JDP69" s="146"/>
      <c r="JDQ69" s="147"/>
      <c r="JDR69"/>
      <c r="JDS69" s="148"/>
      <c r="JDT69"/>
      <c r="JDU69" s="140"/>
      <c r="JDV69" s="149"/>
      <c r="JDW69"/>
      <c r="JDX69" s="142"/>
      <c r="JDY69" s="143"/>
      <c r="JDZ69" s="144"/>
      <c r="JEA69" s="144"/>
      <c r="JEB69" s="143"/>
      <c r="JEC69" s="145"/>
      <c r="JED69" s="143"/>
      <c r="JEE69" s="145"/>
      <c r="JEF69" s="146"/>
      <c r="JEG69" s="147"/>
      <c r="JEH69"/>
      <c r="JEI69" s="148"/>
      <c r="JEJ69"/>
      <c r="JEK69" s="140"/>
      <c r="JEL69" s="149"/>
      <c r="JEM69"/>
      <c r="JEN69" s="142"/>
      <c r="JEO69" s="143"/>
      <c r="JEP69" s="144"/>
      <c r="JEQ69" s="144"/>
      <c r="JER69" s="143"/>
      <c r="JES69" s="145"/>
      <c r="JET69" s="143"/>
      <c r="JEU69" s="145"/>
      <c r="JEV69" s="146"/>
      <c r="JEW69" s="147"/>
      <c r="JEX69"/>
      <c r="JEY69" s="148"/>
      <c r="JEZ69"/>
      <c r="JFA69" s="140"/>
      <c r="JFB69" s="149"/>
      <c r="JFC69"/>
      <c r="JFD69" s="142"/>
      <c r="JFE69" s="143"/>
      <c r="JFF69" s="144"/>
      <c r="JFG69" s="144"/>
      <c r="JFH69" s="143"/>
      <c r="JFI69" s="145"/>
      <c r="JFJ69" s="143"/>
      <c r="JFK69" s="145"/>
      <c r="JFL69" s="146"/>
      <c r="JFM69" s="147"/>
      <c r="JFN69"/>
      <c r="JFO69" s="148"/>
      <c r="JFP69"/>
      <c r="JFQ69" s="140"/>
      <c r="JFR69" s="149"/>
      <c r="JFS69"/>
      <c r="JFT69" s="142"/>
      <c r="JFU69" s="143"/>
      <c r="JFV69" s="144"/>
      <c r="JFW69" s="144"/>
      <c r="JFX69" s="143"/>
      <c r="JFY69" s="145"/>
      <c r="JFZ69" s="143"/>
      <c r="JGA69" s="145"/>
      <c r="JGB69" s="146"/>
      <c r="JGC69" s="147"/>
      <c r="JGD69"/>
      <c r="JGE69" s="148"/>
      <c r="JGF69"/>
      <c r="JGG69" s="140"/>
      <c r="JGH69" s="149"/>
      <c r="JGI69"/>
      <c r="JGJ69" s="142"/>
      <c r="JGK69" s="143"/>
      <c r="JGL69" s="144"/>
      <c r="JGM69" s="144"/>
      <c r="JGN69" s="143"/>
      <c r="JGO69" s="145"/>
      <c r="JGP69" s="143"/>
      <c r="JGQ69" s="145"/>
      <c r="JGR69" s="146"/>
      <c r="JGS69" s="147"/>
      <c r="JGT69"/>
      <c r="JGU69" s="148"/>
      <c r="JGV69"/>
      <c r="JGW69" s="140"/>
      <c r="JGX69" s="149"/>
      <c r="JGY69"/>
      <c r="JGZ69" s="142"/>
      <c r="JHA69" s="143"/>
      <c r="JHB69" s="144"/>
      <c r="JHC69" s="144"/>
      <c r="JHD69" s="143"/>
      <c r="JHE69" s="145"/>
      <c r="JHF69" s="143"/>
      <c r="JHG69" s="145"/>
      <c r="JHH69" s="146"/>
      <c r="JHI69" s="147"/>
      <c r="JHJ69"/>
      <c r="JHK69" s="148"/>
      <c r="JHL69"/>
      <c r="JHM69" s="140"/>
      <c r="JHN69" s="149"/>
      <c r="JHO69"/>
      <c r="JHP69" s="142"/>
      <c r="JHQ69" s="143"/>
      <c r="JHR69" s="144"/>
      <c r="JHS69" s="144"/>
      <c r="JHT69" s="143"/>
      <c r="JHU69" s="145"/>
      <c r="JHV69" s="143"/>
      <c r="JHW69" s="145"/>
      <c r="JHX69" s="146"/>
      <c r="JHY69" s="147"/>
      <c r="JHZ69"/>
      <c r="JIA69" s="148"/>
      <c r="JIB69"/>
      <c r="JIC69" s="140"/>
      <c r="JID69" s="149"/>
      <c r="JIE69"/>
      <c r="JIF69" s="142"/>
      <c r="JIG69" s="143"/>
      <c r="JIH69" s="144"/>
      <c r="JII69" s="144"/>
      <c r="JIJ69" s="143"/>
      <c r="JIK69" s="145"/>
      <c r="JIL69" s="143"/>
      <c r="JIM69" s="145"/>
      <c r="JIN69" s="146"/>
      <c r="JIO69" s="147"/>
      <c r="JIP69"/>
      <c r="JIQ69" s="148"/>
      <c r="JIR69"/>
      <c r="JIS69" s="140"/>
      <c r="JIT69" s="149"/>
      <c r="JIU69"/>
      <c r="JIV69" s="142"/>
      <c r="JIW69" s="143"/>
      <c r="JIX69" s="144"/>
      <c r="JIY69" s="144"/>
      <c r="JIZ69" s="143"/>
      <c r="JJA69" s="145"/>
      <c r="JJB69" s="143"/>
      <c r="JJC69" s="145"/>
      <c r="JJD69" s="146"/>
      <c r="JJE69" s="147"/>
      <c r="JJF69"/>
      <c r="JJG69" s="148"/>
      <c r="JJH69"/>
      <c r="JJI69" s="140"/>
      <c r="JJJ69" s="149"/>
      <c r="JJK69"/>
      <c r="JJL69" s="142"/>
      <c r="JJM69" s="143"/>
      <c r="JJN69" s="144"/>
      <c r="JJO69" s="144"/>
      <c r="JJP69" s="143"/>
      <c r="JJQ69" s="145"/>
      <c r="JJR69" s="143"/>
      <c r="JJS69" s="145"/>
      <c r="JJT69" s="146"/>
      <c r="JJU69" s="147"/>
      <c r="JJV69"/>
      <c r="JJW69" s="148"/>
      <c r="JJX69"/>
      <c r="JJY69" s="140"/>
      <c r="JJZ69" s="149"/>
      <c r="JKA69"/>
      <c r="JKB69" s="142"/>
      <c r="JKC69" s="143"/>
      <c r="JKD69" s="144"/>
      <c r="JKE69" s="144"/>
      <c r="JKF69" s="143"/>
      <c r="JKG69" s="145"/>
      <c r="JKH69" s="143"/>
      <c r="JKI69" s="145"/>
      <c r="JKJ69" s="146"/>
      <c r="JKK69" s="147"/>
      <c r="JKL69"/>
      <c r="JKM69" s="148"/>
      <c r="JKN69"/>
      <c r="JKO69" s="140"/>
      <c r="JKP69" s="149"/>
      <c r="JKQ69"/>
      <c r="JKR69" s="142"/>
      <c r="JKS69" s="143"/>
      <c r="JKT69" s="144"/>
      <c r="JKU69" s="144"/>
      <c r="JKV69" s="143"/>
      <c r="JKW69" s="145"/>
      <c r="JKX69" s="143"/>
      <c r="JKY69" s="145"/>
      <c r="JKZ69" s="146"/>
      <c r="JLA69" s="147"/>
      <c r="JLB69"/>
      <c r="JLC69" s="148"/>
      <c r="JLD69"/>
      <c r="JLE69" s="140"/>
      <c r="JLF69" s="149"/>
      <c r="JLG69"/>
      <c r="JLH69" s="142"/>
      <c r="JLI69" s="143"/>
      <c r="JLJ69" s="144"/>
      <c r="JLK69" s="144"/>
      <c r="JLL69" s="143"/>
      <c r="JLM69" s="145"/>
      <c r="JLN69" s="143"/>
      <c r="JLO69" s="145"/>
      <c r="JLP69" s="146"/>
      <c r="JLQ69" s="147"/>
      <c r="JLR69"/>
      <c r="JLS69" s="148"/>
      <c r="JLT69"/>
      <c r="JLU69" s="140"/>
      <c r="JLV69" s="149"/>
      <c r="JLW69"/>
      <c r="JLX69" s="142"/>
      <c r="JLY69" s="143"/>
      <c r="JLZ69" s="144"/>
      <c r="JMA69" s="144"/>
      <c r="JMB69" s="143"/>
      <c r="JMC69" s="145"/>
      <c r="JMD69" s="143"/>
      <c r="JME69" s="145"/>
      <c r="JMF69" s="146"/>
      <c r="JMG69" s="147"/>
      <c r="JMH69"/>
      <c r="JMI69" s="148"/>
      <c r="JMJ69"/>
      <c r="JMK69" s="140"/>
      <c r="JML69" s="149"/>
      <c r="JMM69"/>
      <c r="JMN69" s="142"/>
      <c r="JMO69" s="143"/>
      <c r="JMP69" s="144"/>
      <c r="JMQ69" s="144"/>
      <c r="JMR69" s="143"/>
      <c r="JMS69" s="145"/>
      <c r="JMT69" s="143"/>
      <c r="JMU69" s="145"/>
      <c r="JMV69" s="146"/>
      <c r="JMW69" s="147"/>
      <c r="JMX69"/>
      <c r="JMY69" s="148"/>
      <c r="JMZ69"/>
      <c r="JNA69" s="140"/>
      <c r="JNB69" s="149"/>
      <c r="JNC69"/>
      <c r="JND69" s="142"/>
      <c r="JNE69" s="143"/>
      <c r="JNF69" s="144"/>
      <c r="JNG69" s="144"/>
      <c r="JNH69" s="143"/>
      <c r="JNI69" s="145"/>
      <c r="JNJ69" s="143"/>
      <c r="JNK69" s="145"/>
      <c r="JNL69" s="146"/>
      <c r="JNM69" s="147"/>
      <c r="JNN69"/>
      <c r="JNO69" s="148"/>
      <c r="JNP69"/>
      <c r="JNQ69" s="140"/>
      <c r="JNR69" s="149"/>
      <c r="JNS69"/>
      <c r="JNT69" s="142"/>
      <c r="JNU69" s="143"/>
      <c r="JNV69" s="144"/>
      <c r="JNW69" s="144"/>
      <c r="JNX69" s="143"/>
      <c r="JNY69" s="145"/>
      <c r="JNZ69" s="143"/>
      <c r="JOA69" s="145"/>
      <c r="JOB69" s="146"/>
      <c r="JOC69" s="147"/>
      <c r="JOD69"/>
      <c r="JOE69" s="148"/>
      <c r="JOF69"/>
      <c r="JOG69" s="140"/>
      <c r="JOH69" s="149"/>
      <c r="JOI69"/>
      <c r="JOJ69" s="142"/>
      <c r="JOK69" s="143"/>
      <c r="JOL69" s="144"/>
      <c r="JOM69" s="144"/>
      <c r="JON69" s="143"/>
      <c r="JOO69" s="145"/>
      <c r="JOP69" s="143"/>
      <c r="JOQ69" s="145"/>
      <c r="JOR69" s="146"/>
      <c r="JOS69" s="147"/>
      <c r="JOT69"/>
      <c r="JOU69" s="148"/>
      <c r="JOV69"/>
      <c r="JOW69" s="140"/>
      <c r="JOX69" s="149"/>
      <c r="JOY69"/>
      <c r="JOZ69" s="142"/>
      <c r="JPA69" s="143"/>
      <c r="JPB69" s="144"/>
      <c r="JPC69" s="144"/>
      <c r="JPD69" s="143"/>
      <c r="JPE69" s="145"/>
      <c r="JPF69" s="143"/>
      <c r="JPG69" s="145"/>
      <c r="JPH69" s="146"/>
      <c r="JPI69" s="147"/>
      <c r="JPJ69"/>
      <c r="JPK69" s="148"/>
      <c r="JPL69"/>
      <c r="JPM69" s="140"/>
      <c r="JPN69" s="149"/>
      <c r="JPO69"/>
      <c r="JPP69" s="142"/>
      <c r="JPQ69" s="143"/>
      <c r="JPR69" s="144"/>
      <c r="JPS69" s="144"/>
      <c r="JPT69" s="143"/>
      <c r="JPU69" s="145"/>
      <c r="JPV69" s="143"/>
      <c r="JPW69" s="145"/>
      <c r="JPX69" s="146"/>
      <c r="JPY69" s="147"/>
      <c r="JPZ69"/>
      <c r="JQA69" s="148"/>
      <c r="JQB69"/>
      <c r="JQC69" s="140"/>
      <c r="JQD69" s="149"/>
      <c r="JQE69"/>
      <c r="JQF69" s="142"/>
      <c r="JQG69" s="143"/>
      <c r="JQH69" s="144"/>
      <c r="JQI69" s="144"/>
      <c r="JQJ69" s="143"/>
      <c r="JQK69" s="145"/>
      <c r="JQL69" s="143"/>
      <c r="JQM69" s="145"/>
      <c r="JQN69" s="146"/>
      <c r="JQO69" s="147"/>
      <c r="JQP69"/>
      <c r="JQQ69" s="148"/>
      <c r="JQR69"/>
      <c r="JQS69" s="140"/>
      <c r="JQT69" s="149"/>
      <c r="JQU69"/>
      <c r="JQV69" s="142"/>
      <c r="JQW69" s="143"/>
      <c r="JQX69" s="144"/>
      <c r="JQY69" s="144"/>
      <c r="JQZ69" s="143"/>
      <c r="JRA69" s="145"/>
      <c r="JRB69" s="143"/>
      <c r="JRC69" s="145"/>
      <c r="JRD69" s="146"/>
      <c r="JRE69" s="147"/>
      <c r="JRF69"/>
      <c r="JRG69" s="148"/>
      <c r="JRH69"/>
      <c r="JRI69" s="140"/>
      <c r="JRJ69" s="149"/>
      <c r="JRK69"/>
      <c r="JRL69" s="142"/>
      <c r="JRM69" s="143"/>
      <c r="JRN69" s="144"/>
      <c r="JRO69" s="144"/>
      <c r="JRP69" s="143"/>
      <c r="JRQ69" s="145"/>
      <c r="JRR69" s="143"/>
      <c r="JRS69" s="145"/>
      <c r="JRT69" s="146"/>
      <c r="JRU69" s="147"/>
      <c r="JRV69"/>
      <c r="JRW69" s="148"/>
      <c r="JRX69"/>
      <c r="JRY69" s="140"/>
      <c r="JRZ69" s="149"/>
      <c r="JSA69"/>
      <c r="JSB69" s="142"/>
      <c r="JSC69" s="143"/>
      <c r="JSD69" s="144"/>
      <c r="JSE69" s="144"/>
      <c r="JSF69" s="143"/>
      <c r="JSG69" s="145"/>
      <c r="JSH69" s="143"/>
      <c r="JSI69" s="145"/>
      <c r="JSJ69" s="146"/>
      <c r="JSK69" s="147"/>
      <c r="JSL69"/>
      <c r="JSM69" s="148"/>
      <c r="JSN69"/>
      <c r="JSO69" s="140"/>
      <c r="JSP69" s="149"/>
      <c r="JSQ69"/>
      <c r="JSR69" s="142"/>
      <c r="JSS69" s="143"/>
      <c r="JST69" s="144"/>
      <c r="JSU69" s="144"/>
      <c r="JSV69" s="143"/>
      <c r="JSW69" s="145"/>
      <c r="JSX69" s="143"/>
      <c r="JSY69" s="145"/>
      <c r="JSZ69" s="146"/>
      <c r="JTA69" s="147"/>
      <c r="JTB69"/>
      <c r="JTC69" s="148"/>
      <c r="JTD69"/>
      <c r="JTE69" s="140"/>
      <c r="JTF69" s="149"/>
      <c r="JTG69"/>
      <c r="JTH69" s="142"/>
      <c r="JTI69" s="143"/>
      <c r="JTJ69" s="144"/>
      <c r="JTK69" s="144"/>
      <c r="JTL69" s="143"/>
      <c r="JTM69" s="145"/>
      <c r="JTN69" s="143"/>
      <c r="JTO69" s="145"/>
      <c r="JTP69" s="146"/>
      <c r="JTQ69" s="147"/>
      <c r="JTR69"/>
      <c r="JTS69" s="148"/>
      <c r="JTT69"/>
      <c r="JTU69" s="140"/>
      <c r="JTV69" s="149"/>
      <c r="JTW69"/>
      <c r="JTX69" s="142"/>
      <c r="JTY69" s="143"/>
      <c r="JTZ69" s="144"/>
      <c r="JUA69" s="144"/>
      <c r="JUB69" s="143"/>
      <c r="JUC69" s="145"/>
      <c r="JUD69" s="143"/>
      <c r="JUE69" s="145"/>
      <c r="JUF69" s="146"/>
      <c r="JUG69" s="147"/>
      <c r="JUH69"/>
      <c r="JUI69" s="148"/>
      <c r="JUJ69"/>
      <c r="JUK69" s="140"/>
      <c r="JUL69" s="149"/>
      <c r="JUM69"/>
      <c r="JUN69" s="142"/>
      <c r="JUO69" s="143"/>
      <c r="JUP69" s="144"/>
      <c r="JUQ69" s="144"/>
      <c r="JUR69" s="143"/>
      <c r="JUS69" s="145"/>
      <c r="JUT69" s="143"/>
      <c r="JUU69" s="145"/>
      <c r="JUV69" s="146"/>
      <c r="JUW69" s="147"/>
      <c r="JUX69"/>
      <c r="JUY69" s="148"/>
      <c r="JUZ69"/>
      <c r="JVA69" s="140"/>
      <c r="JVB69" s="149"/>
      <c r="JVC69"/>
      <c r="JVD69" s="142"/>
      <c r="JVE69" s="143"/>
      <c r="JVF69" s="144"/>
      <c r="JVG69" s="144"/>
      <c r="JVH69" s="143"/>
      <c r="JVI69" s="145"/>
      <c r="JVJ69" s="143"/>
      <c r="JVK69" s="145"/>
      <c r="JVL69" s="146"/>
      <c r="JVM69" s="147"/>
      <c r="JVN69"/>
      <c r="JVO69" s="148"/>
      <c r="JVP69"/>
      <c r="JVQ69" s="140"/>
      <c r="JVR69" s="149"/>
      <c r="JVS69"/>
      <c r="JVT69" s="142"/>
      <c r="JVU69" s="143"/>
      <c r="JVV69" s="144"/>
      <c r="JVW69" s="144"/>
      <c r="JVX69" s="143"/>
      <c r="JVY69" s="145"/>
      <c r="JVZ69" s="143"/>
      <c r="JWA69" s="145"/>
      <c r="JWB69" s="146"/>
      <c r="JWC69" s="147"/>
      <c r="JWD69"/>
      <c r="JWE69" s="148"/>
      <c r="JWF69"/>
      <c r="JWG69" s="140"/>
      <c r="JWH69" s="149"/>
      <c r="JWI69"/>
      <c r="JWJ69" s="142"/>
      <c r="JWK69" s="143"/>
      <c r="JWL69" s="144"/>
      <c r="JWM69" s="144"/>
      <c r="JWN69" s="143"/>
      <c r="JWO69" s="145"/>
      <c r="JWP69" s="143"/>
      <c r="JWQ69" s="145"/>
      <c r="JWR69" s="146"/>
      <c r="JWS69" s="147"/>
      <c r="JWT69"/>
      <c r="JWU69" s="148"/>
      <c r="JWV69"/>
      <c r="JWW69" s="140"/>
      <c r="JWX69" s="149"/>
      <c r="JWY69"/>
      <c r="JWZ69" s="142"/>
      <c r="JXA69" s="143"/>
      <c r="JXB69" s="144"/>
      <c r="JXC69" s="144"/>
      <c r="JXD69" s="143"/>
      <c r="JXE69" s="145"/>
      <c r="JXF69" s="143"/>
      <c r="JXG69" s="145"/>
      <c r="JXH69" s="146"/>
      <c r="JXI69" s="147"/>
      <c r="JXJ69"/>
      <c r="JXK69" s="148"/>
      <c r="JXL69"/>
      <c r="JXM69" s="140"/>
      <c r="JXN69" s="149"/>
      <c r="JXO69"/>
      <c r="JXP69" s="142"/>
      <c r="JXQ69" s="143"/>
      <c r="JXR69" s="144"/>
      <c r="JXS69" s="144"/>
      <c r="JXT69" s="143"/>
      <c r="JXU69" s="145"/>
      <c r="JXV69" s="143"/>
      <c r="JXW69" s="145"/>
      <c r="JXX69" s="146"/>
      <c r="JXY69" s="147"/>
      <c r="JXZ69"/>
      <c r="JYA69" s="148"/>
      <c r="JYB69"/>
      <c r="JYC69" s="140"/>
      <c r="JYD69" s="149"/>
      <c r="JYE69"/>
      <c r="JYF69" s="142"/>
      <c r="JYG69" s="143"/>
      <c r="JYH69" s="144"/>
      <c r="JYI69" s="144"/>
      <c r="JYJ69" s="143"/>
      <c r="JYK69" s="145"/>
      <c r="JYL69" s="143"/>
      <c r="JYM69" s="145"/>
      <c r="JYN69" s="146"/>
      <c r="JYO69" s="147"/>
      <c r="JYP69"/>
      <c r="JYQ69" s="148"/>
      <c r="JYR69"/>
      <c r="JYS69" s="140"/>
      <c r="JYT69" s="149"/>
      <c r="JYU69"/>
      <c r="JYV69" s="142"/>
      <c r="JYW69" s="143"/>
      <c r="JYX69" s="144"/>
      <c r="JYY69" s="144"/>
      <c r="JYZ69" s="143"/>
      <c r="JZA69" s="145"/>
      <c r="JZB69" s="143"/>
      <c r="JZC69" s="145"/>
      <c r="JZD69" s="146"/>
      <c r="JZE69" s="147"/>
      <c r="JZF69"/>
      <c r="JZG69" s="148"/>
      <c r="JZH69"/>
      <c r="JZI69" s="140"/>
      <c r="JZJ69" s="149"/>
      <c r="JZK69"/>
      <c r="JZL69" s="142"/>
      <c r="JZM69" s="143"/>
      <c r="JZN69" s="144"/>
      <c r="JZO69" s="144"/>
      <c r="JZP69" s="143"/>
      <c r="JZQ69" s="145"/>
      <c r="JZR69" s="143"/>
      <c r="JZS69" s="145"/>
      <c r="JZT69" s="146"/>
      <c r="JZU69" s="147"/>
      <c r="JZV69"/>
      <c r="JZW69" s="148"/>
      <c r="JZX69"/>
      <c r="JZY69" s="140"/>
      <c r="JZZ69" s="149"/>
      <c r="KAA69"/>
      <c r="KAB69" s="142"/>
      <c r="KAC69" s="143"/>
      <c r="KAD69" s="144"/>
      <c r="KAE69" s="144"/>
      <c r="KAF69" s="143"/>
      <c r="KAG69" s="145"/>
      <c r="KAH69" s="143"/>
      <c r="KAI69" s="145"/>
      <c r="KAJ69" s="146"/>
      <c r="KAK69" s="147"/>
      <c r="KAL69"/>
      <c r="KAM69" s="148"/>
      <c r="KAN69"/>
      <c r="KAO69" s="140"/>
      <c r="KAP69" s="149"/>
      <c r="KAQ69"/>
      <c r="KAR69" s="142"/>
      <c r="KAS69" s="143"/>
      <c r="KAT69" s="144"/>
      <c r="KAU69" s="144"/>
      <c r="KAV69" s="143"/>
      <c r="KAW69" s="145"/>
      <c r="KAX69" s="143"/>
      <c r="KAY69" s="145"/>
      <c r="KAZ69" s="146"/>
      <c r="KBA69" s="147"/>
      <c r="KBB69"/>
      <c r="KBC69" s="148"/>
      <c r="KBD69"/>
      <c r="KBE69" s="140"/>
      <c r="KBF69" s="149"/>
      <c r="KBG69"/>
      <c r="KBH69" s="142"/>
      <c r="KBI69" s="143"/>
      <c r="KBJ69" s="144"/>
      <c r="KBK69" s="144"/>
      <c r="KBL69" s="143"/>
      <c r="KBM69" s="145"/>
      <c r="KBN69" s="143"/>
      <c r="KBO69" s="145"/>
      <c r="KBP69" s="146"/>
      <c r="KBQ69" s="147"/>
      <c r="KBR69"/>
      <c r="KBS69" s="148"/>
      <c r="KBT69"/>
      <c r="KBU69" s="140"/>
      <c r="KBV69" s="149"/>
      <c r="KBW69"/>
      <c r="KBX69" s="142"/>
      <c r="KBY69" s="143"/>
      <c r="KBZ69" s="144"/>
      <c r="KCA69" s="144"/>
      <c r="KCB69" s="143"/>
      <c r="KCC69" s="145"/>
      <c r="KCD69" s="143"/>
      <c r="KCE69" s="145"/>
      <c r="KCF69" s="146"/>
      <c r="KCG69" s="147"/>
      <c r="KCH69"/>
      <c r="KCI69" s="148"/>
      <c r="KCJ69"/>
      <c r="KCK69" s="140"/>
      <c r="KCL69" s="149"/>
      <c r="KCM69"/>
      <c r="KCN69" s="142"/>
      <c r="KCO69" s="143"/>
      <c r="KCP69" s="144"/>
      <c r="KCQ69" s="144"/>
      <c r="KCR69" s="143"/>
      <c r="KCS69" s="145"/>
      <c r="KCT69" s="143"/>
      <c r="KCU69" s="145"/>
      <c r="KCV69" s="146"/>
      <c r="KCW69" s="147"/>
      <c r="KCX69"/>
      <c r="KCY69" s="148"/>
      <c r="KCZ69"/>
      <c r="KDA69" s="140"/>
      <c r="KDB69" s="149"/>
      <c r="KDC69"/>
      <c r="KDD69" s="142"/>
      <c r="KDE69" s="143"/>
      <c r="KDF69" s="144"/>
      <c r="KDG69" s="144"/>
      <c r="KDH69" s="143"/>
      <c r="KDI69" s="145"/>
      <c r="KDJ69" s="143"/>
      <c r="KDK69" s="145"/>
      <c r="KDL69" s="146"/>
      <c r="KDM69" s="147"/>
      <c r="KDN69"/>
      <c r="KDO69" s="148"/>
      <c r="KDP69"/>
      <c r="KDQ69" s="140"/>
      <c r="KDR69" s="149"/>
      <c r="KDS69"/>
      <c r="KDT69" s="142"/>
      <c r="KDU69" s="143"/>
      <c r="KDV69" s="144"/>
      <c r="KDW69" s="144"/>
      <c r="KDX69" s="143"/>
      <c r="KDY69" s="145"/>
      <c r="KDZ69" s="143"/>
      <c r="KEA69" s="145"/>
      <c r="KEB69" s="146"/>
      <c r="KEC69" s="147"/>
      <c r="KED69"/>
      <c r="KEE69" s="148"/>
      <c r="KEF69"/>
      <c r="KEG69" s="140"/>
      <c r="KEH69" s="149"/>
      <c r="KEI69"/>
      <c r="KEJ69" s="142"/>
      <c r="KEK69" s="143"/>
      <c r="KEL69" s="144"/>
      <c r="KEM69" s="144"/>
      <c r="KEN69" s="143"/>
      <c r="KEO69" s="145"/>
      <c r="KEP69" s="143"/>
      <c r="KEQ69" s="145"/>
      <c r="KER69" s="146"/>
      <c r="KES69" s="147"/>
      <c r="KET69"/>
      <c r="KEU69" s="148"/>
      <c r="KEV69"/>
      <c r="KEW69" s="140"/>
      <c r="KEX69" s="149"/>
      <c r="KEY69"/>
      <c r="KEZ69" s="142"/>
      <c r="KFA69" s="143"/>
      <c r="KFB69" s="144"/>
      <c r="KFC69" s="144"/>
      <c r="KFD69" s="143"/>
      <c r="KFE69" s="145"/>
      <c r="KFF69" s="143"/>
      <c r="KFG69" s="145"/>
      <c r="KFH69" s="146"/>
      <c r="KFI69" s="147"/>
      <c r="KFJ69"/>
      <c r="KFK69" s="148"/>
      <c r="KFL69"/>
      <c r="KFM69" s="140"/>
      <c r="KFN69" s="149"/>
      <c r="KFO69"/>
      <c r="KFP69" s="142"/>
      <c r="KFQ69" s="143"/>
      <c r="KFR69" s="144"/>
      <c r="KFS69" s="144"/>
      <c r="KFT69" s="143"/>
      <c r="KFU69" s="145"/>
      <c r="KFV69" s="143"/>
      <c r="KFW69" s="145"/>
      <c r="KFX69" s="146"/>
      <c r="KFY69" s="147"/>
      <c r="KFZ69"/>
      <c r="KGA69" s="148"/>
      <c r="KGB69"/>
      <c r="KGC69" s="140"/>
      <c r="KGD69" s="149"/>
      <c r="KGE69"/>
      <c r="KGF69" s="142"/>
      <c r="KGG69" s="143"/>
      <c r="KGH69" s="144"/>
      <c r="KGI69" s="144"/>
      <c r="KGJ69" s="143"/>
      <c r="KGK69" s="145"/>
      <c r="KGL69" s="143"/>
      <c r="KGM69" s="145"/>
      <c r="KGN69" s="146"/>
      <c r="KGO69" s="147"/>
      <c r="KGP69"/>
      <c r="KGQ69" s="148"/>
      <c r="KGR69"/>
      <c r="KGS69" s="140"/>
      <c r="KGT69" s="149"/>
      <c r="KGU69"/>
      <c r="KGV69" s="142"/>
      <c r="KGW69" s="143"/>
      <c r="KGX69" s="144"/>
      <c r="KGY69" s="144"/>
      <c r="KGZ69" s="143"/>
      <c r="KHA69" s="145"/>
      <c r="KHB69" s="143"/>
      <c r="KHC69" s="145"/>
      <c r="KHD69" s="146"/>
      <c r="KHE69" s="147"/>
      <c r="KHF69"/>
      <c r="KHG69" s="148"/>
      <c r="KHH69"/>
      <c r="KHI69" s="140"/>
      <c r="KHJ69" s="149"/>
      <c r="KHK69"/>
      <c r="KHL69" s="142"/>
      <c r="KHM69" s="143"/>
      <c r="KHN69" s="144"/>
      <c r="KHO69" s="144"/>
      <c r="KHP69" s="143"/>
      <c r="KHQ69" s="145"/>
      <c r="KHR69" s="143"/>
      <c r="KHS69" s="145"/>
      <c r="KHT69" s="146"/>
      <c r="KHU69" s="147"/>
      <c r="KHV69"/>
      <c r="KHW69" s="148"/>
      <c r="KHX69"/>
      <c r="KHY69" s="140"/>
      <c r="KHZ69" s="149"/>
      <c r="KIA69"/>
      <c r="KIB69" s="142"/>
      <c r="KIC69" s="143"/>
      <c r="KID69" s="144"/>
      <c r="KIE69" s="144"/>
      <c r="KIF69" s="143"/>
      <c r="KIG69" s="145"/>
      <c r="KIH69" s="143"/>
      <c r="KII69" s="145"/>
      <c r="KIJ69" s="146"/>
      <c r="KIK69" s="147"/>
      <c r="KIL69"/>
      <c r="KIM69" s="148"/>
      <c r="KIN69"/>
      <c r="KIO69" s="140"/>
      <c r="KIP69" s="149"/>
      <c r="KIQ69"/>
      <c r="KIR69" s="142"/>
      <c r="KIS69" s="143"/>
      <c r="KIT69" s="144"/>
      <c r="KIU69" s="144"/>
      <c r="KIV69" s="143"/>
      <c r="KIW69" s="145"/>
      <c r="KIX69" s="143"/>
      <c r="KIY69" s="145"/>
      <c r="KIZ69" s="146"/>
      <c r="KJA69" s="147"/>
      <c r="KJB69"/>
      <c r="KJC69" s="148"/>
      <c r="KJD69"/>
      <c r="KJE69" s="140"/>
      <c r="KJF69" s="149"/>
      <c r="KJG69"/>
      <c r="KJH69" s="142"/>
      <c r="KJI69" s="143"/>
      <c r="KJJ69" s="144"/>
      <c r="KJK69" s="144"/>
      <c r="KJL69" s="143"/>
      <c r="KJM69" s="145"/>
      <c r="KJN69" s="143"/>
      <c r="KJO69" s="145"/>
      <c r="KJP69" s="146"/>
      <c r="KJQ69" s="147"/>
      <c r="KJR69"/>
      <c r="KJS69" s="148"/>
      <c r="KJT69"/>
      <c r="KJU69" s="140"/>
      <c r="KJV69" s="149"/>
      <c r="KJW69"/>
      <c r="KJX69" s="142"/>
      <c r="KJY69" s="143"/>
      <c r="KJZ69" s="144"/>
      <c r="KKA69" s="144"/>
      <c r="KKB69" s="143"/>
      <c r="KKC69" s="145"/>
      <c r="KKD69" s="143"/>
      <c r="KKE69" s="145"/>
      <c r="KKF69" s="146"/>
      <c r="KKG69" s="147"/>
      <c r="KKH69"/>
      <c r="KKI69" s="148"/>
      <c r="KKJ69"/>
      <c r="KKK69" s="140"/>
      <c r="KKL69" s="149"/>
      <c r="KKM69"/>
      <c r="KKN69" s="142"/>
      <c r="KKO69" s="143"/>
      <c r="KKP69" s="144"/>
      <c r="KKQ69" s="144"/>
      <c r="KKR69" s="143"/>
      <c r="KKS69" s="145"/>
      <c r="KKT69" s="143"/>
      <c r="KKU69" s="145"/>
      <c r="KKV69" s="146"/>
      <c r="KKW69" s="147"/>
      <c r="KKX69"/>
      <c r="KKY69" s="148"/>
      <c r="KKZ69"/>
      <c r="KLA69" s="140"/>
      <c r="KLB69" s="149"/>
      <c r="KLC69"/>
      <c r="KLD69" s="142"/>
      <c r="KLE69" s="143"/>
      <c r="KLF69" s="144"/>
      <c r="KLG69" s="144"/>
      <c r="KLH69" s="143"/>
      <c r="KLI69" s="145"/>
      <c r="KLJ69" s="143"/>
      <c r="KLK69" s="145"/>
      <c r="KLL69" s="146"/>
      <c r="KLM69" s="147"/>
      <c r="KLN69"/>
      <c r="KLO69" s="148"/>
      <c r="KLP69"/>
      <c r="KLQ69" s="140"/>
      <c r="KLR69" s="149"/>
      <c r="KLS69"/>
      <c r="KLT69" s="142"/>
      <c r="KLU69" s="143"/>
      <c r="KLV69" s="144"/>
      <c r="KLW69" s="144"/>
      <c r="KLX69" s="143"/>
      <c r="KLY69" s="145"/>
      <c r="KLZ69" s="143"/>
      <c r="KMA69" s="145"/>
      <c r="KMB69" s="146"/>
      <c r="KMC69" s="147"/>
      <c r="KMD69"/>
      <c r="KME69" s="148"/>
      <c r="KMF69"/>
      <c r="KMG69" s="140"/>
      <c r="KMH69" s="149"/>
      <c r="KMI69"/>
      <c r="KMJ69" s="142"/>
      <c r="KMK69" s="143"/>
      <c r="KML69" s="144"/>
      <c r="KMM69" s="144"/>
      <c r="KMN69" s="143"/>
      <c r="KMO69" s="145"/>
      <c r="KMP69" s="143"/>
      <c r="KMQ69" s="145"/>
      <c r="KMR69" s="146"/>
      <c r="KMS69" s="147"/>
      <c r="KMT69"/>
      <c r="KMU69" s="148"/>
      <c r="KMV69"/>
      <c r="KMW69" s="140"/>
      <c r="KMX69" s="149"/>
      <c r="KMY69"/>
      <c r="KMZ69" s="142"/>
      <c r="KNA69" s="143"/>
      <c r="KNB69" s="144"/>
      <c r="KNC69" s="144"/>
      <c r="KND69" s="143"/>
      <c r="KNE69" s="145"/>
      <c r="KNF69" s="143"/>
      <c r="KNG69" s="145"/>
      <c r="KNH69" s="146"/>
      <c r="KNI69" s="147"/>
      <c r="KNJ69"/>
      <c r="KNK69" s="148"/>
      <c r="KNL69"/>
      <c r="KNM69" s="140"/>
      <c r="KNN69" s="149"/>
      <c r="KNO69"/>
      <c r="KNP69" s="142"/>
      <c r="KNQ69" s="143"/>
      <c r="KNR69" s="144"/>
      <c r="KNS69" s="144"/>
      <c r="KNT69" s="143"/>
      <c r="KNU69" s="145"/>
      <c r="KNV69" s="143"/>
      <c r="KNW69" s="145"/>
      <c r="KNX69" s="146"/>
      <c r="KNY69" s="147"/>
      <c r="KNZ69"/>
      <c r="KOA69" s="148"/>
      <c r="KOB69"/>
      <c r="KOC69" s="140"/>
      <c r="KOD69" s="149"/>
      <c r="KOE69"/>
      <c r="KOF69" s="142"/>
      <c r="KOG69" s="143"/>
      <c r="KOH69" s="144"/>
      <c r="KOI69" s="144"/>
      <c r="KOJ69" s="143"/>
      <c r="KOK69" s="145"/>
      <c r="KOL69" s="143"/>
      <c r="KOM69" s="145"/>
      <c r="KON69" s="146"/>
      <c r="KOO69" s="147"/>
      <c r="KOP69"/>
      <c r="KOQ69" s="148"/>
      <c r="KOR69"/>
      <c r="KOS69" s="140"/>
      <c r="KOT69" s="149"/>
      <c r="KOU69"/>
      <c r="KOV69" s="142"/>
      <c r="KOW69" s="143"/>
      <c r="KOX69" s="144"/>
      <c r="KOY69" s="144"/>
      <c r="KOZ69" s="143"/>
      <c r="KPA69" s="145"/>
      <c r="KPB69" s="143"/>
      <c r="KPC69" s="145"/>
      <c r="KPD69" s="146"/>
      <c r="KPE69" s="147"/>
      <c r="KPF69"/>
      <c r="KPG69" s="148"/>
      <c r="KPH69"/>
      <c r="KPI69" s="140"/>
      <c r="KPJ69" s="149"/>
      <c r="KPK69"/>
      <c r="KPL69" s="142"/>
      <c r="KPM69" s="143"/>
      <c r="KPN69" s="144"/>
      <c r="KPO69" s="144"/>
      <c r="KPP69" s="143"/>
      <c r="KPQ69" s="145"/>
      <c r="KPR69" s="143"/>
      <c r="KPS69" s="145"/>
      <c r="KPT69" s="146"/>
      <c r="KPU69" s="147"/>
      <c r="KPV69"/>
      <c r="KPW69" s="148"/>
      <c r="KPX69"/>
      <c r="KPY69" s="140"/>
      <c r="KPZ69" s="149"/>
      <c r="KQA69"/>
      <c r="KQB69" s="142"/>
      <c r="KQC69" s="143"/>
      <c r="KQD69" s="144"/>
      <c r="KQE69" s="144"/>
      <c r="KQF69" s="143"/>
      <c r="KQG69" s="145"/>
      <c r="KQH69" s="143"/>
      <c r="KQI69" s="145"/>
      <c r="KQJ69" s="146"/>
      <c r="KQK69" s="147"/>
      <c r="KQL69"/>
      <c r="KQM69" s="148"/>
      <c r="KQN69"/>
      <c r="KQO69" s="140"/>
      <c r="KQP69" s="149"/>
      <c r="KQQ69"/>
      <c r="KQR69" s="142"/>
      <c r="KQS69" s="143"/>
      <c r="KQT69" s="144"/>
      <c r="KQU69" s="144"/>
      <c r="KQV69" s="143"/>
      <c r="KQW69" s="145"/>
      <c r="KQX69" s="143"/>
      <c r="KQY69" s="145"/>
      <c r="KQZ69" s="146"/>
      <c r="KRA69" s="147"/>
      <c r="KRB69"/>
      <c r="KRC69" s="148"/>
      <c r="KRD69"/>
      <c r="KRE69" s="140"/>
      <c r="KRF69" s="149"/>
      <c r="KRG69"/>
      <c r="KRH69" s="142"/>
      <c r="KRI69" s="143"/>
      <c r="KRJ69" s="144"/>
      <c r="KRK69" s="144"/>
      <c r="KRL69" s="143"/>
      <c r="KRM69" s="145"/>
      <c r="KRN69" s="143"/>
      <c r="KRO69" s="145"/>
      <c r="KRP69" s="146"/>
      <c r="KRQ69" s="147"/>
      <c r="KRR69"/>
      <c r="KRS69" s="148"/>
      <c r="KRT69"/>
      <c r="KRU69" s="140"/>
      <c r="KRV69" s="149"/>
      <c r="KRW69"/>
      <c r="KRX69" s="142"/>
      <c r="KRY69" s="143"/>
      <c r="KRZ69" s="144"/>
      <c r="KSA69" s="144"/>
      <c r="KSB69" s="143"/>
      <c r="KSC69" s="145"/>
      <c r="KSD69" s="143"/>
      <c r="KSE69" s="145"/>
      <c r="KSF69" s="146"/>
      <c r="KSG69" s="147"/>
      <c r="KSH69"/>
      <c r="KSI69" s="148"/>
      <c r="KSJ69"/>
      <c r="KSK69" s="140"/>
      <c r="KSL69" s="149"/>
      <c r="KSM69"/>
      <c r="KSN69" s="142"/>
      <c r="KSO69" s="143"/>
      <c r="KSP69" s="144"/>
      <c r="KSQ69" s="144"/>
      <c r="KSR69" s="143"/>
      <c r="KSS69" s="145"/>
      <c r="KST69" s="143"/>
      <c r="KSU69" s="145"/>
      <c r="KSV69" s="146"/>
      <c r="KSW69" s="147"/>
      <c r="KSX69"/>
      <c r="KSY69" s="148"/>
      <c r="KSZ69"/>
      <c r="KTA69" s="140"/>
      <c r="KTB69" s="149"/>
      <c r="KTC69"/>
      <c r="KTD69" s="142"/>
      <c r="KTE69" s="143"/>
      <c r="KTF69" s="144"/>
      <c r="KTG69" s="144"/>
      <c r="KTH69" s="143"/>
      <c r="KTI69" s="145"/>
      <c r="KTJ69" s="143"/>
      <c r="KTK69" s="145"/>
      <c r="KTL69" s="146"/>
      <c r="KTM69" s="147"/>
      <c r="KTN69"/>
      <c r="KTO69" s="148"/>
      <c r="KTP69"/>
      <c r="KTQ69" s="140"/>
      <c r="KTR69" s="149"/>
      <c r="KTS69"/>
      <c r="KTT69" s="142"/>
      <c r="KTU69" s="143"/>
      <c r="KTV69" s="144"/>
      <c r="KTW69" s="144"/>
      <c r="KTX69" s="143"/>
      <c r="KTY69" s="145"/>
      <c r="KTZ69" s="143"/>
      <c r="KUA69" s="145"/>
      <c r="KUB69" s="146"/>
      <c r="KUC69" s="147"/>
      <c r="KUD69"/>
      <c r="KUE69" s="148"/>
      <c r="KUF69"/>
      <c r="KUG69" s="140"/>
      <c r="KUH69" s="149"/>
      <c r="KUI69"/>
      <c r="KUJ69" s="142"/>
      <c r="KUK69" s="143"/>
      <c r="KUL69" s="144"/>
      <c r="KUM69" s="144"/>
      <c r="KUN69" s="143"/>
      <c r="KUO69" s="145"/>
      <c r="KUP69" s="143"/>
      <c r="KUQ69" s="145"/>
      <c r="KUR69" s="146"/>
      <c r="KUS69" s="147"/>
      <c r="KUT69"/>
      <c r="KUU69" s="148"/>
      <c r="KUV69"/>
      <c r="KUW69" s="140"/>
      <c r="KUX69" s="149"/>
      <c r="KUY69"/>
      <c r="KUZ69" s="142"/>
      <c r="KVA69" s="143"/>
      <c r="KVB69" s="144"/>
      <c r="KVC69" s="144"/>
      <c r="KVD69" s="143"/>
      <c r="KVE69" s="145"/>
      <c r="KVF69" s="143"/>
      <c r="KVG69" s="145"/>
      <c r="KVH69" s="146"/>
      <c r="KVI69" s="147"/>
      <c r="KVJ69"/>
      <c r="KVK69" s="148"/>
      <c r="KVL69"/>
      <c r="KVM69" s="140"/>
      <c r="KVN69" s="149"/>
      <c r="KVO69"/>
      <c r="KVP69" s="142"/>
      <c r="KVQ69" s="143"/>
      <c r="KVR69" s="144"/>
      <c r="KVS69" s="144"/>
      <c r="KVT69" s="143"/>
      <c r="KVU69" s="145"/>
      <c r="KVV69" s="143"/>
      <c r="KVW69" s="145"/>
      <c r="KVX69" s="146"/>
      <c r="KVY69" s="147"/>
      <c r="KVZ69"/>
      <c r="KWA69" s="148"/>
      <c r="KWB69"/>
      <c r="KWC69" s="140"/>
      <c r="KWD69" s="149"/>
      <c r="KWE69"/>
      <c r="KWF69" s="142"/>
      <c r="KWG69" s="143"/>
      <c r="KWH69" s="144"/>
      <c r="KWI69" s="144"/>
      <c r="KWJ69" s="143"/>
      <c r="KWK69" s="145"/>
      <c r="KWL69" s="143"/>
      <c r="KWM69" s="145"/>
      <c r="KWN69" s="146"/>
      <c r="KWO69" s="147"/>
      <c r="KWP69"/>
      <c r="KWQ69" s="148"/>
      <c r="KWR69"/>
      <c r="KWS69" s="140"/>
      <c r="KWT69" s="149"/>
      <c r="KWU69"/>
      <c r="KWV69" s="142"/>
      <c r="KWW69" s="143"/>
      <c r="KWX69" s="144"/>
      <c r="KWY69" s="144"/>
      <c r="KWZ69" s="143"/>
      <c r="KXA69" s="145"/>
      <c r="KXB69" s="143"/>
      <c r="KXC69" s="145"/>
      <c r="KXD69" s="146"/>
      <c r="KXE69" s="147"/>
      <c r="KXF69"/>
      <c r="KXG69" s="148"/>
      <c r="KXH69"/>
      <c r="KXI69" s="140"/>
      <c r="KXJ69" s="149"/>
      <c r="KXK69"/>
      <c r="KXL69" s="142"/>
      <c r="KXM69" s="143"/>
      <c r="KXN69" s="144"/>
      <c r="KXO69" s="144"/>
      <c r="KXP69" s="143"/>
      <c r="KXQ69" s="145"/>
      <c r="KXR69" s="143"/>
      <c r="KXS69" s="145"/>
      <c r="KXT69" s="146"/>
      <c r="KXU69" s="147"/>
      <c r="KXV69"/>
      <c r="KXW69" s="148"/>
      <c r="KXX69"/>
      <c r="KXY69" s="140"/>
      <c r="KXZ69" s="149"/>
      <c r="KYA69"/>
      <c r="KYB69" s="142"/>
      <c r="KYC69" s="143"/>
      <c r="KYD69" s="144"/>
      <c r="KYE69" s="144"/>
      <c r="KYF69" s="143"/>
      <c r="KYG69" s="145"/>
      <c r="KYH69" s="143"/>
      <c r="KYI69" s="145"/>
      <c r="KYJ69" s="146"/>
      <c r="KYK69" s="147"/>
      <c r="KYL69"/>
      <c r="KYM69" s="148"/>
      <c r="KYN69"/>
      <c r="KYO69" s="140"/>
      <c r="KYP69" s="149"/>
      <c r="KYQ69"/>
      <c r="KYR69" s="142"/>
      <c r="KYS69" s="143"/>
      <c r="KYT69" s="144"/>
      <c r="KYU69" s="144"/>
      <c r="KYV69" s="143"/>
      <c r="KYW69" s="145"/>
      <c r="KYX69" s="143"/>
      <c r="KYY69" s="145"/>
      <c r="KYZ69" s="146"/>
      <c r="KZA69" s="147"/>
      <c r="KZB69"/>
      <c r="KZC69" s="148"/>
      <c r="KZD69"/>
      <c r="KZE69" s="140"/>
      <c r="KZF69" s="149"/>
      <c r="KZG69"/>
      <c r="KZH69" s="142"/>
      <c r="KZI69" s="143"/>
      <c r="KZJ69" s="144"/>
      <c r="KZK69" s="144"/>
      <c r="KZL69" s="143"/>
      <c r="KZM69" s="145"/>
      <c r="KZN69" s="143"/>
      <c r="KZO69" s="145"/>
      <c r="KZP69" s="146"/>
      <c r="KZQ69" s="147"/>
      <c r="KZR69"/>
      <c r="KZS69" s="148"/>
      <c r="KZT69"/>
      <c r="KZU69" s="140"/>
      <c r="KZV69" s="149"/>
      <c r="KZW69"/>
      <c r="KZX69" s="142"/>
      <c r="KZY69" s="143"/>
      <c r="KZZ69" s="144"/>
      <c r="LAA69" s="144"/>
      <c r="LAB69" s="143"/>
      <c r="LAC69" s="145"/>
      <c r="LAD69" s="143"/>
      <c r="LAE69" s="145"/>
      <c r="LAF69" s="146"/>
      <c r="LAG69" s="147"/>
      <c r="LAH69"/>
      <c r="LAI69" s="148"/>
      <c r="LAJ69"/>
      <c r="LAK69" s="140"/>
      <c r="LAL69" s="149"/>
      <c r="LAM69"/>
      <c r="LAN69" s="142"/>
      <c r="LAO69" s="143"/>
      <c r="LAP69" s="144"/>
      <c r="LAQ69" s="144"/>
      <c r="LAR69" s="143"/>
      <c r="LAS69" s="145"/>
      <c r="LAT69" s="143"/>
      <c r="LAU69" s="145"/>
      <c r="LAV69" s="146"/>
      <c r="LAW69" s="147"/>
      <c r="LAX69"/>
      <c r="LAY69" s="148"/>
      <c r="LAZ69"/>
      <c r="LBA69" s="140"/>
      <c r="LBB69" s="149"/>
      <c r="LBC69"/>
      <c r="LBD69" s="142"/>
      <c r="LBE69" s="143"/>
      <c r="LBF69" s="144"/>
      <c r="LBG69" s="144"/>
      <c r="LBH69" s="143"/>
      <c r="LBI69" s="145"/>
      <c r="LBJ69" s="143"/>
      <c r="LBK69" s="145"/>
      <c r="LBL69" s="146"/>
      <c r="LBM69" s="147"/>
      <c r="LBN69"/>
      <c r="LBO69" s="148"/>
      <c r="LBP69"/>
      <c r="LBQ69" s="140"/>
      <c r="LBR69" s="149"/>
      <c r="LBS69"/>
      <c r="LBT69" s="142"/>
      <c r="LBU69" s="143"/>
      <c r="LBV69" s="144"/>
      <c r="LBW69" s="144"/>
      <c r="LBX69" s="143"/>
      <c r="LBY69" s="145"/>
      <c r="LBZ69" s="143"/>
      <c r="LCA69" s="145"/>
      <c r="LCB69" s="146"/>
      <c r="LCC69" s="147"/>
      <c r="LCD69"/>
      <c r="LCE69" s="148"/>
      <c r="LCF69"/>
      <c r="LCG69" s="140"/>
      <c r="LCH69" s="149"/>
      <c r="LCI69"/>
      <c r="LCJ69" s="142"/>
      <c r="LCK69" s="143"/>
      <c r="LCL69" s="144"/>
      <c r="LCM69" s="144"/>
      <c r="LCN69" s="143"/>
      <c r="LCO69" s="145"/>
      <c r="LCP69" s="143"/>
      <c r="LCQ69" s="145"/>
      <c r="LCR69" s="146"/>
      <c r="LCS69" s="147"/>
      <c r="LCT69"/>
      <c r="LCU69" s="148"/>
      <c r="LCV69"/>
      <c r="LCW69" s="140"/>
      <c r="LCX69" s="149"/>
      <c r="LCY69"/>
      <c r="LCZ69" s="142"/>
      <c r="LDA69" s="143"/>
      <c r="LDB69" s="144"/>
      <c r="LDC69" s="144"/>
      <c r="LDD69" s="143"/>
      <c r="LDE69" s="145"/>
      <c r="LDF69" s="143"/>
      <c r="LDG69" s="145"/>
      <c r="LDH69" s="146"/>
      <c r="LDI69" s="147"/>
      <c r="LDJ69"/>
      <c r="LDK69" s="148"/>
      <c r="LDL69"/>
      <c r="LDM69" s="140"/>
      <c r="LDN69" s="149"/>
      <c r="LDO69"/>
      <c r="LDP69" s="142"/>
      <c r="LDQ69" s="143"/>
      <c r="LDR69" s="144"/>
      <c r="LDS69" s="144"/>
      <c r="LDT69" s="143"/>
      <c r="LDU69" s="145"/>
      <c r="LDV69" s="143"/>
      <c r="LDW69" s="145"/>
      <c r="LDX69" s="146"/>
      <c r="LDY69" s="147"/>
      <c r="LDZ69"/>
      <c r="LEA69" s="148"/>
      <c r="LEB69"/>
      <c r="LEC69" s="140"/>
      <c r="LED69" s="149"/>
      <c r="LEE69"/>
      <c r="LEF69" s="142"/>
      <c r="LEG69" s="143"/>
      <c r="LEH69" s="144"/>
      <c r="LEI69" s="144"/>
      <c r="LEJ69" s="143"/>
      <c r="LEK69" s="145"/>
      <c r="LEL69" s="143"/>
      <c r="LEM69" s="145"/>
      <c r="LEN69" s="146"/>
      <c r="LEO69" s="147"/>
      <c r="LEP69"/>
      <c r="LEQ69" s="148"/>
      <c r="LER69"/>
      <c r="LES69" s="140"/>
      <c r="LET69" s="149"/>
      <c r="LEU69"/>
      <c r="LEV69" s="142"/>
      <c r="LEW69" s="143"/>
      <c r="LEX69" s="144"/>
      <c r="LEY69" s="144"/>
      <c r="LEZ69" s="143"/>
      <c r="LFA69" s="145"/>
      <c r="LFB69" s="143"/>
      <c r="LFC69" s="145"/>
      <c r="LFD69" s="146"/>
      <c r="LFE69" s="147"/>
      <c r="LFF69"/>
      <c r="LFG69" s="148"/>
      <c r="LFH69"/>
      <c r="LFI69" s="140"/>
      <c r="LFJ69" s="149"/>
      <c r="LFK69"/>
      <c r="LFL69" s="142"/>
      <c r="LFM69" s="143"/>
      <c r="LFN69" s="144"/>
      <c r="LFO69" s="144"/>
      <c r="LFP69" s="143"/>
      <c r="LFQ69" s="145"/>
      <c r="LFR69" s="143"/>
      <c r="LFS69" s="145"/>
      <c r="LFT69" s="146"/>
      <c r="LFU69" s="147"/>
      <c r="LFV69"/>
      <c r="LFW69" s="148"/>
      <c r="LFX69"/>
      <c r="LFY69" s="140"/>
      <c r="LFZ69" s="149"/>
      <c r="LGA69"/>
      <c r="LGB69" s="142"/>
      <c r="LGC69" s="143"/>
      <c r="LGD69" s="144"/>
      <c r="LGE69" s="144"/>
      <c r="LGF69" s="143"/>
      <c r="LGG69" s="145"/>
      <c r="LGH69" s="143"/>
      <c r="LGI69" s="145"/>
      <c r="LGJ69" s="146"/>
      <c r="LGK69" s="147"/>
      <c r="LGL69"/>
      <c r="LGM69" s="148"/>
      <c r="LGN69"/>
      <c r="LGO69" s="140"/>
      <c r="LGP69" s="149"/>
      <c r="LGQ69"/>
      <c r="LGR69" s="142"/>
      <c r="LGS69" s="143"/>
      <c r="LGT69" s="144"/>
      <c r="LGU69" s="144"/>
      <c r="LGV69" s="143"/>
      <c r="LGW69" s="145"/>
      <c r="LGX69" s="143"/>
      <c r="LGY69" s="145"/>
      <c r="LGZ69" s="146"/>
      <c r="LHA69" s="147"/>
      <c r="LHB69"/>
      <c r="LHC69" s="148"/>
      <c r="LHD69"/>
      <c r="LHE69" s="140"/>
      <c r="LHF69" s="149"/>
      <c r="LHG69"/>
      <c r="LHH69" s="142"/>
      <c r="LHI69" s="143"/>
      <c r="LHJ69" s="144"/>
      <c r="LHK69" s="144"/>
      <c r="LHL69" s="143"/>
      <c r="LHM69" s="145"/>
      <c r="LHN69" s="143"/>
      <c r="LHO69" s="145"/>
      <c r="LHP69" s="146"/>
      <c r="LHQ69" s="147"/>
      <c r="LHR69"/>
      <c r="LHS69" s="148"/>
      <c r="LHT69"/>
      <c r="LHU69" s="140"/>
      <c r="LHV69" s="149"/>
      <c r="LHW69"/>
      <c r="LHX69" s="142"/>
      <c r="LHY69" s="143"/>
      <c r="LHZ69" s="144"/>
      <c r="LIA69" s="144"/>
      <c r="LIB69" s="143"/>
      <c r="LIC69" s="145"/>
      <c r="LID69" s="143"/>
      <c r="LIE69" s="145"/>
      <c r="LIF69" s="146"/>
      <c r="LIG69" s="147"/>
      <c r="LIH69"/>
      <c r="LII69" s="148"/>
      <c r="LIJ69"/>
      <c r="LIK69" s="140"/>
      <c r="LIL69" s="149"/>
      <c r="LIM69"/>
      <c r="LIN69" s="142"/>
      <c r="LIO69" s="143"/>
      <c r="LIP69" s="144"/>
      <c r="LIQ69" s="144"/>
      <c r="LIR69" s="143"/>
      <c r="LIS69" s="145"/>
      <c r="LIT69" s="143"/>
      <c r="LIU69" s="145"/>
      <c r="LIV69" s="146"/>
      <c r="LIW69" s="147"/>
      <c r="LIX69"/>
      <c r="LIY69" s="148"/>
      <c r="LIZ69"/>
      <c r="LJA69" s="140"/>
      <c r="LJB69" s="149"/>
      <c r="LJC69"/>
      <c r="LJD69" s="142"/>
      <c r="LJE69" s="143"/>
      <c r="LJF69" s="144"/>
      <c r="LJG69" s="144"/>
      <c r="LJH69" s="143"/>
      <c r="LJI69" s="145"/>
      <c r="LJJ69" s="143"/>
      <c r="LJK69" s="145"/>
      <c r="LJL69" s="146"/>
      <c r="LJM69" s="147"/>
      <c r="LJN69"/>
      <c r="LJO69" s="148"/>
      <c r="LJP69"/>
      <c r="LJQ69" s="140"/>
      <c r="LJR69" s="149"/>
      <c r="LJS69"/>
      <c r="LJT69" s="142"/>
      <c r="LJU69" s="143"/>
      <c r="LJV69" s="144"/>
      <c r="LJW69" s="144"/>
      <c r="LJX69" s="143"/>
      <c r="LJY69" s="145"/>
      <c r="LJZ69" s="143"/>
      <c r="LKA69" s="145"/>
      <c r="LKB69" s="146"/>
      <c r="LKC69" s="147"/>
      <c r="LKD69"/>
      <c r="LKE69" s="148"/>
      <c r="LKF69"/>
      <c r="LKG69" s="140"/>
      <c r="LKH69" s="149"/>
      <c r="LKI69"/>
      <c r="LKJ69" s="142"/>
      <c r="LKK69" s="143"/>
      <c r="LKL69" s="144"/>
      <c r="LKM69" s="144"/>
      <c r="LKN69" s="143"/>
      <c r="LKO69" s="145"/>
      <c r="LKP69" s="143"/>
      <c r="LKQ69" s="145"/>
      <c r="LKR69" s="146"/>
      <c r="LKS69" s="147"/>
      <c r="LKT69"/>
      <c r="LKU69" s="148"/>
      <c r="LKV69"/>
      <c r="LKW69" s="140"/>
      <c r="LKX69" s="149"/>
      <c r="LKY69"/>
      <c r="LKZ69" s="142"/>
      <c r="LLA69" s="143"/>
      <c r="LLB69" s="144"/>
      <c r="LLC69" s="144"/>
      <c r="LLD69" s="143"/>
      <c r="LLE69" s="145"/>
      <c r="LLF69" s="143"/>
      <c r="LLG69" s="145"/>
      <c r="LLH69" s="146"/>
      <c r="LLI69" s="147"/>
      <c r="LLJ69"/>
      <c r="LLK69" s="148"/>
      <c r="LLL69"/>
      <c r="LLM69" s="140"/>
      <c r="LLN69" s="149"/>
      <c r="LLO69"/>
      <c r="LLP69" s="142"/>
      <c r="LLQ69" s="143"/>
      <c r="LLR69" s="144"/>
      <c r="LLS69" s="144"/>
      <c r="LLT69" s="143"/>
      <c r="LLU69" s="145"/>
      <c r="LLV69" s="143"/>
      <c r="LLW69" s="145"/>
      <c r="LLX69" s="146"/>
      <c r="LLY69" s="147"/>
      <c r="LLZ69"/>
      <c r="LMA69" s="148"/>
      <c r="LMB69"/>
      <c r="LMC69" s="140"/>
      <c r="LMD69" s="149"/>
      <c r="LME69"/>
      <c r="LMF69" s="142"/>
      <c r="LMG69" s="143"/>
      <c r="LMH69" s="144"/>
      <c r="LMI69" s="144"/>
      <c r="LMJ69" s="143"/>
      <c r="LMK69" s="145"/>
      <c r="LML69" s="143"/>
      <c r="LMM69" s="145"/>
      <c r="LMN69" s="146"/>
      <c r="LMO69" s="147"/>
      <c r="LMP69"/>
      <c r="LMQ69" s="148"/>
      <c r="LMR69"/>
      <c r="LMS69" s="140"/>
      <c r="LMT69" s="149"/>
      <c r="LMU69"/>
      <c r="LMV69" s="142"/>
      <c r="LMW69" s="143"/>
      <c r="LMX69" s="144"/>
      <c r="LMY69" s="144"/>
      <c r="LMZ69" s="143"/>
      <c r="LNA69" s="145"/>
      <c r="LNB69" s="143"/>
      <c r="LNC69" s="145"/>
      <c r="LND69" s="146"/>
      <c r="LNE69" s="147"/>
      <c r="LNF69"/>
      <c r="LNG69" s="148"/>
      <c r="LNH69"/>
      <c r="LNI69" s="140"/>
      <c r="LNJ69" s="149"/>
      <c r="LNK69"/>
      <c r="LNL69" s="142"/>
      <c r="LNM69" s="143"/>
      <c r="LNN69" s="144"/>
      <c r="LNO69" s="144"/>
      <c r="LNP69" s="143"/>
      <c r="LNQ69" s="145"/>
      <c r="LNR69" s="143"/>
      <c r="LNS69" s="145"/>
      <c r="LNT69" s="146"/>
      <c r="LNU69" s="147"/>
      <c r="LNV69"/>
      <c r="LNW69" s="148"/>
      <c r="LNX69"/>
      <c r="LNY69" s="140"/>
      <c r="LNZ69" s="149"/>
      <c r="LOA69"/>
      <c r="LOB69" s="142"/>
      <c r="LOC69" s="143"/>
      <c r="LOD69" s="144"/>
      <c r="LOE69" s="144"/>
      <c r="LOF69" s="143"/>
      <c r="LOG69" s="145"/>
      <c r="LOH69" s="143"/>
      <c r="LOI69" s="145"/>
      <c r="LOJ69" s="146"/>
      <c r="LOK69" s="147"/>
      <c r="LOL69"/>
      <c r="LOM69" s="148"/>
      <c r="LON69"/>
      <c r="LOO69" s="140"/>
      <c r="LOP69" s="149"/>
      <c r="LOQ69"/>
      <c r="LOR69" s="142"/>
      <c r="LOS69" s="143"/>
      <c r="LOT69" s="144"/>
      <c r="LOU69" s="144"/>
      <c r="LOV69" s="143"/>
      <c r="LOW69" s="145"/>
      <c r="LOX69" s="143"/>
      <c r="LOY69" s="145"/>
      <c r="LOZ69" s="146"/>
      <c r="LPA69" s="147"/>
      <c r="LPB69"/>
      <c r="LPC69" s="148"/>
      <c r="LPD69"/>
      <c r="LPE69" s="140"/>
      <c r="LPF69" s="149"/>
      <c r="LPG69"/>
      <c r="LPH69" s="142"/>
      <c r="LPI69" s="143"/>
      <c r="LPJ69" s="144"/>
      <c r="LPK69" s="144"/>
      <c r="LPL69" s="143"/>
      <c r="LPM69" s="145"/>
      <c r="LPN69" s="143"/>
      <c r="LPO69" s="145"/>
      <c r="LPP69" s="146"/>
      <c r="LPQ69" s="147"/>
      <c r="LPR69"/>
      <c r="LPS69" s="148"/>
      <c r="LPT69"/>
      <c r="LPU69" s="140"/>
      <c r="LPV69" s="149"/>
      <c r="LPW69"/>
      <c r="LPX69" s="142"/>
      <c r="LPY69" s="143"/>
      <c r="LPZ69" s="144"/>
      <c r="LQA69" s="144"/>
      <c r="LQB69" s="143"/>
      <c r="LQC69" s="145"/>
      <c r="LQD69" s="143"/>
      <c r="LQE69" s="145"/>
      <c r="LQF69" s="146"/>
      <c r="LQG69" s="147"/>
      <c r="LQH69"/>
      <c r="LQI69" s="148"/>
      <c r="LQJ69"/>
      <c r="LQK69" s="140"/>
      <c r="LQL69" s="149"/>
      <c r="LQM69"/>
      <c r="LQN69" s="142"/>
      <c r="LQO69" s="143"/>
      <c r="LQP69" s="144"/>
      <c r="LQQ69" s="144"/>
      <c r="LQR69" s="143"/>
      <c r="LQS69" s="145"/>
      <c r="LQT69" s="143"/>
      <c r="LQU69" s="145"/>
      <c r="LQV69" s="146"/>
      <c r="LQW69" s="147"/>
      <c r="LQX69"/>
      <c r="LQY69" s="148"/>
      <c r="LQZ69"/>
      <c r="LRA69" s="140"/>
      <c r="LRB69" s="149"/>
      <c r="LRC69"/>
      <c r="LRD69" s="142"/>
      <c r="LRE69" s="143"/>
      <c r="LRF69" s="144"/>
      <c r="LRG69" s="144"/>
      <c r="LRH69" s="143"/>
      <c r="LRI69" s="145"/>
      <c r="LRJ69" s="143"/>
      <c r="LRK69" s="145"/>
      <c r="LRL69" s="146"/>
      <c r="LRM69" s="147"/>
      <c r="LRN69"/>
      <c r="LRO69" s="148"/>
      <c r="LRP69"/>
      <c r="LRQ69" s="140"/>
      <c r="LRR69" s="149"/>
      <c r="LRS69"/>
      <c r="LRT69" s="142"/>
      <c r="LRU69" s="143"/>
      <c r="LRV69" s="144"/>
      <c r="LRW69" s="144"/>
      <c r="LRX69" s="143"/>
      <c r="LRY69" s="145"/>
      <c r="LRZ69" s="143"/>
      <c r="LSA69" s="145"/>
      <c r="LSB69" s="146"/>
      <c r="LSC69" s="147"/>
      <c r="LSD69"/>
      <c r="LSE69" s="148"/>
      <c r="LSF69"/>
      <c r="LSG69" s="140"/>
      <c r="LSH69" s="149"/>
      <c r="LSI69"/>
      <c r="LSJ69" s="142"/>
      <c r="LSK69" s="143"/>
      <c r="LSL69" s="144"/>
      <c r="LSM69" s="144"/>
      <c r="LSN69" s="143"/>
      <c r="LSO69" s="145"/>
      <c r="LSP69" s="143"/>
      <c r="LSQ69" s="145"/>
      <c r="LSR69" s="146"/>
      <c r="LSS69" s="147"/>
      <c r="LST69"/>
      <c r="LSU69" s="148"/>
      <c r="LSV69"/>
      <c r="LSW69" s="140"/>
      <c r="LSX69" s="149"/>
      <c r="LSY69"/>
      <c r="LSZ69" s="142"/>
      <c r="LTA69" s="143"/>
      <c r="LTB69" s="144"/>
      <c r="LTC69" s="144"/>
      <c r="LTD69" s="143"/>
      <c r="LTE69" s="145"/>
      <c r="LTF69" s="143"/>
      <c r="LTG69" s="145"/>
      <c r="LTH69" s="146"/>
      <c r="LTI69" s="147"/>
      <c r="LTJ69"/>
      <c r="LTK69" s="148"/>
      <c r="LTL69"/>
      <c r="LTM69" s="140"/>
      <c r="LTN69" s="149"/>
      <c r="LTO69"/>
      <c r="LTP69" s="142"/>
      <c r="LTQ69" s="143"/>
      <c r="LTR69" s="144"/>
      <c r="LTS69" s="144"/>
      <c r="LTT69" s="143"/>
      <c r="LTU69" s="145"/>
      <c r="LTV69" s="143"/>
      <c r="LTW69" s="145"/>
      <c r="LTX69" s="146"/>
      <c r="LTY69" s="147"/>
      <c r="LTZ69"/>
      <c r="LUA69" s="148"/>
      <c r="LUB69"/>
      <c r="LUC69" s="140"/>
      <c r="LUD69" s="149"/>
      <c r="LUE69"/>
      <c r="LUF69" s="142"/>
      <c r="LUG69" s="143"/>
      <c r="LUH69" s="144"/>
      <c r="LUI69" s="144"/>
      <c r="LUJ69" s="143"/>
      <c r="LUK69" s="145"/>
      <c r="LUL69" s="143"/>
      <c r="LUM69" s="145"/>
      <c r="LUN69" s="146"/>
      <c r="LUO69" s="147"/>
      <c r="LUP69"/>
      <c r="LUQ69" s="148"/>
      <c r="LUR69"/>
      <c r="LUS69" s="140"/>
      <c r="LUT69" s="149"/>
      <c r="LUU69"/>
      <c r="LUV69" s="142"/>
      <c r="LUW69" s="143"/>
      <c r="LUX69" s="144"/>
      <c r="LUY69" s="144"/>
      <c r="LUZ69" s="143"/>
      <c r="LVA69" s="145"/>
      <c r="LVB69" s="143"/>
      <c r="LVC69" s="145"/>
      <c r="LVD69" s="146"/>
      <c r="LVE69" s="147"/>
      <c r="LVF69"/>
      <c r="LVG69" s="148"/>
      <c r="LVH69"/>
      <c r="LVI69" s="140"/>
      <c r="LVJ69" s="149"/>
      <c r="LVK69"/>
      <c r="LVL69" s="142"/>
      <c r="LVM69" s="143"/>
      <c r="LVN69" s="144"/>
      <c r="LVO69" s="144"/>
      <c r="LVP69" s="143"/>
      <c r="LVQ69" s="145"/>
      <c r="LVR69" s="143"/>
      <c r="LVS69" s="145"/>
      <c r="LVT69" s="146"/>
      <c r="LVU69" s="147"/>
      <c r="LVV69"/>
      <c r="LVW69" s="148"/>
      <c r="LVX69"/>
      <c r="LVY69" s="140"/>
      <c r="LVZ69" s="149"/>
      <c r="LWA69"/>
      <c r="LWB69" s="142"/>
      <c r="LWC69" s="143"/>
      <c r="LWD69" s="144"/>
      <c r="LWE69" s="144"/>
      <c r="LWF69" s="143"/>
      <c r="LWG69" s="145"/>
      <c r="LWH69" s="143"/>
      <c r="LWI69" s="145"/>
      <c r="LWJ69" s="146"/>
      <c r="LWK69" s="147"/>
      <c r="LWL69"/>
      <c r="LWM69" s="148"/>
      <c r="LWN69"/>
      <c r="LWO69" s="140"/>
      <c r="LWP69" s="149"/>
      <c r="LWQ69"/>
      <c r="LWR69" s="142"/>
      <c r="LWS69" s="143"/>
      <c r="LWT69" s="144"/>
      <c r="LWU69" s="144"/>
      <c r="LWV69" s="143"/>
      <c r="LWW69" s="145"/>
      <c r="LWX69" s="143"/>
      <c r="LWY69" s="145"/>
      <c r="LWZ69" s="146"/>
      <c r="LXA69" s="147"/>
      <c r="LXB69"/>
      <c r="LXC69" s="148"/>
      <c r="LXD69"/>
      <c r="LXE69" s="140"/>
      <c r="LXF69" s="149"/>
      <c r="LXG69"/>
      <c r="LXH69" s="142"/>
      <c r="LXI69" s="143"/>
      <c r="LXJ69" s="144"/>
      <c r="LXK69" s="144"/>
      <c r="LXL69" s="143"/>
      <c r="LXM69" s="145"/>
      <c r="LXN69" s="143"/>
      <c r="LXO69" s="145"/>
      <c r="LXP69" s="146"/>
      <c r="LXQ69" s="147"/>
      <c r="LXR69"/>
      <c r="LXS69" s="148"/>
      <c r="LXT69"/>
      <c r="LXU69" s="140"/>
      <c r="LXV69" s="149"/>
      <c r="LXW69"/>
      <c r="LXX69" s="142"/>
      <c r="LXY69" s="143"/>
      <c r="LXZ69" s="144"/>
      <c r="LYA69" s="144"/>
      <c r="LYB69" s="143"/>
      <c r="LYC69" s="145"/>
      <c r="LYD69" s="143"/>
      <c r="LYE69" s="145"/>
      <c r="LYF69" s="146"/>
      <c r="LYG69" s="147"/>
      <c r="LYH69"/>
      <c r="LYI69" s="148"/>
      <c r="LYJ69"/>
      <c r="LYK69" s="140"/>
      <c r="LYL69" s="149"/>
      <c r="LYM69"/>
      <c r="LYN69" s="142"/>
      <c r="LYO69" s="143"/>
      <c r="LYP69" s="144"/>
      <c r="LYQ69" s="144"/>
      <c r="LYR69" s="143"/>
      <c r="LYS69" s="145"/>
      <c r="LYT69" s="143"/>
      <c r="LYU69" s="145"/>
      <c r="LYV69" s="146"/>
      <c r="LYW69" s="147"/>
      <c r="LYX69"/>
      <c r="LYY69" s="148"/>
      <c r="LYZ69"/>
      <c r="LZA69" s="140"/>
      <c r="LZB69" s="149"/>
      <c r="LZC69"/>
      <c r="LZD69" s="142"/>
      <c r="LZE69" s="143"/>
      <c r="LZF69" s="144"/>
      <c r="LZG69" s="144"/>
      <c r="LZH69" s="143"/>
      <c r="LZI69" s="145"/>
      <c r="LZJ69" s="143"/>
      <c r="LZK69" s="145"/>
      <c r="LZL69" s="146"/>
      <c r="LZM69" s="147"/>
      <c r="LZN69"/>
      <c r="LZO69" s="148"/>
      <c r="LZP69"/>
      <c r="LZQ69" s="140"/>
      <c r="LZR69" s="149"/>
      <c r="LZS69"/>
      <c r="LZT69" s="142"/>
      <c r="LZU69" s="143"/>
      <c r="LZV69" s="144"/>
      <c r="LZW69" s="144"/>
      <c r="LZX69" s="143"/>
      <c r="LZY69" s="145"/>
      <c r="LZZ69" s="143"/>
      <c r="MAA69" s="145"/>
      <c r="MAB69" s="146"/>
      <c r="MAC69" s="147"/>
      <c r="MAD69"/>
      <c r="MAE69" s="148"/>
      <c r="MAF69"/>
      <c r="MAG69" s="140"/>
      <c r="MAH69" s="149"/>
      <c r="MAI69"/>
      <c r="MAJ69" s="142"/>
      <c r="MAK69" s="143"/>
      <c r="MAL69" s="144"/>
      <c r="MAM69" s="144"/>
      <c r="MAN69" s="143"/>
      <c r="MAO69" s="145"/>
      <c r="MAP69" s="143"/>
      <c r="MAQ69" s="145"/>
      <c r="MAR69" s="146"/>
      <c r="MAS69" s="147"/>
      <c r="MAT69"/>
      <c r="MAU69" s="148"/>
      <c r="MAV69"/>
      <c r="MAW69" s="140"/>
      <c r="MAX69" s="149"/>
      <c r="MAY69"/>
      <c r="MAZ69" s="142"/>
      <c r="MBA69" s="143"/>
      <c r="MBB69" s="144"/>
      <c r="MBC69" s="144"/>
      <c r="MBD69" s="143"/>
      <c r="MBE69" s="145"/>
      <c r="MBF69" s="143"/>
      <c r="MBG69" s="145"/>
      <c r="MBH69" s="146"/>
      <c r="MBI69" s="147"/>
      <c r="MBJ69"/>
      <c r="MBK69" s="148"/>
      <c r="MBL69"/>
      <c r="MBM69" s="140"/>
      <c r="MBN69" s="149"/>
      <c r="MBO69"/>
      <c r="MBP69" s="142"/>
      <c r="MBQ69" s="143"/>
      <c r="MBR69" s="144"/>
      <c r="MBS69" s="144"/>
      <c r="MBT69" s="143"/>
      <c r="MBU69" s="145"/>
      <c r="MBV69" s="143"/>
      <c r="MBW69" s="145"/>
      <c r="MBX69" s="146"/>
      <c r="MBY69" s="147"/>
      <c r="MBZ69"/>
      <c r="MCA69" s="148"/>
      <c r="MCB69"/>
      <c r="MCC69" s="140"/>
      <c r="MCD69" s="149"/>
      <c r="MCE69"/>
      <c r="MCF69" s="142"/>
      <c r="MCG69" s="143"/>
      <c r="MCH69" s="144"/>
      <c r="MCI69" s="144"/>
      <c r="MCJ69" s="143"/>
      <c r="MCK69" s="145"/>
      <c r="MCL69" s="143"/>
      <c r="MCM69" s="145"/>
      <c r="MCN69" s="146"/>
      <c r="MCO69" s="147"/>
      <c r="MCP69"/>
      <c r="MCQ69" s="148"/>
      <c r="MCR69"/>
      <c r="MCS69" s="140"/>
      <c r="MCT69" s="149"/>
      <c r="MCU69"/>
      <c r="MCV69" s="142"/>
      <c r="MCW69" s="143"/>
      <c r="MCX69" s="144"/>
      <c r="MCY69" s="144"/>
      <c r="MCZ69" s="143"/>
      <c r="MDA69" s="145"/>
      <c r="MDB69" s="143"/>
      <c r="MDC69" s="145"/>
      <c r="MDD69" s="146"/>
      <c r="MDE69" s="147"/>
      <c r="MDF69"/>
      <c r="MDG69" s="148"/>
      <c r="MDH69"/>
      <c r="MDI69" s="140"/>
      <c r="MDJ69" s="149"/>
      <c r="MDK69"/>
      <c r="MDL69" s="142"/>
      <c r="MDM69" s="143"/>
      <c r="MDN69" s="144"/>
      <c r="MDO69" s="144"/>
      <c r="MDP69" s="143"/>
      <c r="MDQ69" s="145"/>
      <c r="MDR69" s="143"/>
      <c r="MDS69" s="145"/>
      <c r="MDT69" s="146"/>
      <c r="MDU69" s="147"/>
      <c r="MDV69"/>
      <c r="MDW69" s="148"/>
      <c r="MDX69"/>
      <c r="MDY69" s="140"/>
      <c r="MDZ69" s="149"/>
      <c r="MEA69"/>
      <c r="MEB69" s="142"/>
      <c r="MEC69" s="143"/>
      <c r="MED69" s="144"/>
      <c r="MEE69" s="144"/>
      <c r="MEF69" s="143"/>
      <c r="MEG69" s="145"/>
      <c r="MEH69" s="143"/>
      <c r="MEI69" s="145"/>
      <c r="MEJ69" s="146"/>
      <c r="MEK69" s="147"/>
      <c r="MEL69"/>
      <c r="MEM69" s="148"/>
      <c r="MEN69"/>
      <c r="MEO69" s="140"/>
      <c r="MEP69" s="149"/>
      <c r="MEQ69"/>
      <c r="MER69" s="142"/>
      <c r="MES69" s="143"/>
      <c r="MET69" s="144"/>
      <c r="MEU69" s="144"/>
      <c r="MEV69" s="143"/>
      <c r="MEW69" s="145"/>
      <c r="MEX69" s="143"/>
      <c r="MEY69" s="145"/>
      <c r="MEZ69" s="146"/>
      <c r="MFA69" s="147"/>
      <c r="MFB69"/>
      <c r="MFC69" s="148"/>
      <c r="MFD69"/>
      <c r="MFE69" s="140"/>
      <c r="MFF69" s="149"/>
      <c r="MFG69"/>
      <c r="MFH69" s="142"/>
      <c r="MFI69" s="143"/>
      <c r="MFJ69" s="144"/>
      <c r="MFK69" s="144"/>
      <c r="MFL69" s="143"/>
      <c r="MFM69" s="145"/>
      <c r="MFN69" s="143"/>
      <c r="MFO69" s="145"/>
      <c r="MFP69" s="146"/>
      <c r="MFQ69" s="147"/>
      <c r="MFR69"/>
      <c r="MFS69" s="148"/>
      <c r="MFT69"/>
      <c r="MFU69" s="140"/>
      <c r="MFV69" s="149"/>
      <c r="MFW69"/>
      <c r="MFX69" s="142"/>
      <c r="MFY69" s="143"/>
      <c r="MFZ69" s="144"/>
      <c r="MGA69" s="144"/>
      <c r="MGB69" s="143"/>
      <c r="MGC69" s="145"/>
      <c r="MGD69" s="143"/>
      <c r="MGE69" s="145"/>
      <c r="MGF69" s="146"/>
      <c r="MGG69" s="147"/>
      <c r="MGH69"/>
      <c r="MGI69" s="148"/>
      <c r="MGJ69"/>
      <c r="MGK69" s="140"/>
      <c r="MGL69" s="149"/>
      <c r="MGM69"/>
      <c r="MGN69" s="142"/>
      <c r="MGO69" s="143"/>
      <c r="MGP69" s="144"/>
      <c r="MGQ69" s="144"/>
      <c r="MGR69" s="143"/>
      <c r="MGS69" s="145"/>
      <c r="MGT69" s="143"/>
      <c r="MGU69" s="145"/>
      <c r="MGV69" s="146"/>
      <c r="MGW69" s="147"/>
      <c r="MGX69"/>
      <c r="MGY69" s="148"/>
      <c r="MGZ69"/>
      <c r="MHA69" s="140"/>
      <c r="MHB69" s="149"/>
      <c r="MHC69"/>
      <c r="MHD69" s="142"/>
      <c r="MHE69" s="143"/>
      <c r="MHF69" s="144"/>
      <c r="MHG69" s="144"/>
      <c r="MHH69" s="143"/>
      <c r="MHI69" s="145"/>
      <c r="MHJ69" s="143"/>
      <c r="MHK69" s="145"/>
      <c r="MHL69" s="146"/>
      <c r="MHM69" s="147"/>
      <c r="MHN69"/>
      <c r="MHO69" s="148"/>
      <c r="MHP69"/>
      <c r="MHQ69" s="140"/>
      <c r="MHR69" s="149"/>
      <c r="MHS69"/>
      <c r="MHT69" s="142"/>
      <c r="MHU69" s="143"/>
      <c r="MHV69" s="144"/>
      <c r="MHW69" s="144"/>
      <c r="MHX69" s="143"/>
      <c r="MHY69" s="145"/>
      <c r="MHZ69" s="143"/>
      <c r="MIA69" s="145"/>
      <c r="MIB69" s="146"/>
      <c r="MIC69" s="147"/>
      <c r="MID69"/>
      <c r="MIE69" s="148"/>
      <c r="MIF69"/>
      <c r="MIG69" s="140"/>
      <c r="MIH69" s="149"/>
      <c r="MII69"/>
      <c r="MIJ69" s="142"/>
      <c r="MIK69" s="143"/>
      <c r="MIL69" s="144"/>
      <c r="MIM69" s="144"/>
      <c r="MIN69" s="143"/>
      <c r="MIO69" s="145"/>
      <c r="MIP69" s="143"/>
      <c r="MIQ69" s="145"/>
      <c r="MIR69" s="146"/>
      <c r="MIS69" s="147"/>
      <c r="MIT69"/>
      <c r="MIU69" s="148"/>
      <c r="MIV69"/>
      <c r="MIW69" s="140"/>
      <c r="MIX69" s="149"/>
      <c r="MIY69"/>
      <c r="MIZ69" s="142"/>
      <c r="MJA69" s="143"/>
      <c r="MJB69" s="144"/>
      <c r="MJC69" s="144"/>
      <c r="MJD69" s="143"/>
      <c r="MJE69" s="145"/>
      <c r="MJF69" s="143"/>
      <c r="MJG69" s="145"/>
      <c r="MJH69" s="146"/>
      <c r="MJI69" s="147"/>
      <c r="MJJ69"/>
      <c r="MJK69" s="148"/>
      <c r="MJL69"/>
      <c r="MJM69" s="140"/>
      <c r="MJN69" s="149"/>
      <c r="MJO69"/>
      <c r="MJP69" s="142"/>
      <c r="MJQ69" s="143"/>
      <c r="MJR69" s="144"/>
      <c r="MJS69" s="144"/>
      <c r="MJT69" s="143"/>
      <c r="MJU69" s="145"/>
      <c r="MJV69" s="143"/>
      <c r="MJW69" s="145"/>
      <c r="MJX69" s="146"/>
      <c r="MJY69" s="147"/>
      <c r="MJZ69"/>
      <c r="MKA69" s="148"/>
      <c r="MKB69"/>
      <c r="MKC69" s="140"/>
      <c r="MKD69" s="149"/>
      <c r="MKE69"/>
      <c r="MKF69" s="142"/>
      <c r="MKG69" s="143"/>
      <c r="MKH69" s="144"/>
      <c r="MKI69" s="144"/>
      <c r="MKJ69" s="143"/>
      <c r="MKK69" s="145"/>
      <c r="MKL69" s="143"/>
      <c r="MKM69" s="145"/>
      <c r="MKN69" s="146"/>
      <c r="MKO69" s="147"/>
      <c r="MKP69"/>
      <c r="MKQ69" s="148"/>
      <c r="MKR69"/>
      <c r="MKS69" s="140"/>
      <c r="MKT69" s="149"/>
      <c r="MKU69"/>
      <c r="MKV69" s="142"/>
      <c r="MKW69" s="143"/>
      <c r="MKX69" s="144"/>
      <c r="MKY69" s="144"/>
      <c r="MKZ69" s="143"/>
      <c r="MLA69" s="145"/>
      <c r="MLB69" s="143"/>
      <c r="MLC69" s="145"/>
      <c r="MLD69" s="146"/>
      <c r="MLE69" s="147"/>
      <c r="MLF69"/>
      <c r="MLG69" s="148"/>
      <c r="MLH69"/>
      <c r="MLI69" s="140"/>
      <c r="MLJ69" s="149"/>
      <c r="MLK69"/>
      <c r="MLL69" s="142"/>
      <c r="MLM69" s="143"/>
      <c r="MLN69" s="144"/>
      <c r="MLO69" s="144"/>
      <c r="MLP69" s="143"/>
      <c r="MLQ69" s="145"/>
      <c r="MLR69" s="143"/>
      <c r="MLS69" s="145"/>
      <c r="MLT69" s="146"/>
      <c r="MLU69" s="147"/>
      <c r="MLV69"/>
      <c r="MLW69" s="148"/>
      <c r="MLX69"/>
      <c r="MLY69" s="140"/>
      <c r="MLZ69" s="149"/>
      <c r="MMA69"/>
      <c r="MMB69" s="142"/>
      <c r="MMC69" s="143"/>
      <c r="MMD69" s="144"/>
      <c r="MME69" s="144"/>
      <c r="MMF69" s="143"/>
      <c r="MMG69" s="145"/>
      <c r="MMH69" s="143"/>
      <c r="MMI69" s="145"/>
      <c r="MMJ69" s="146"/>
      <c r="MMK69" s="147"/>
      <c r="MML69"/>
      <c r="MMM69" s="148"/>
      <c r="MMN69"/>
      <c r="MMO69" s="140"/>
      <c r="MMP69" s="149"/>
      <c r="MMQ69"/>
      <c r="MMR69" s="142"/>
      <c r="MMS69" s="143"/>
      <c r="MMT69" s="144"/>
      <c r="MMU69" s="144"/>
      <c r="MMV69" s="143"/>
      <c r="MMW69" s="145"/>
      <c r="MMX69" s="143"/>
      <c r="MMY69" s="145"/>
      <c r="MMZ69" s="146"/>
      <c r="MNA69" s="147"/>
      <c r="MNB69"/>
      <c r="MNC69" s="148"/>
      <c r="MND69"/>
      <c r="MNE69" s="140"/>
      <c r="MNF69" s="149"/>
      <c r="MNG69"/>
      <c r="MNH69" s="142"/>
      <c r="MNI69" s="143"/>
      <c r="MNJ69" s="144"/>
      <c r="MNK69" s="144"/>
      <c r="MNL69" s="143"/>
      <c r="MNM69" s="145"/>
      <c r="MNN69" s="143"/>
      <c r="MNO69" s="145"/>
      <c r="MNP69" s="146"/>
      <c r="MNQ69" s="147"/>
      <c r="MNR69"/>
      <c r="MNS69" s="148"/>
      <c r="MNT69"/>
      <c r="MNU69" s="140"/>
      <c r="MNV69" s="149"/>
      <c r="MNW69"/>
      <c r="MNX69" s="142"/>
      <c r="MNY69" s="143"/>
      <c r="MNZ69" s="144"/>
      <c r="MOA69" s="144"/>
      <c r="MOB69" s="143"/>
      <c r="MOC69" s="145"/>
      <c r="MOD69" s="143"/>
      <c r="MOE69" s="145"/>
      <c r="MOF69" s="146"/>
      <c r="MOG69" s="147"/>
      <c r="MOH69"/>
      <c r="MOI69" s="148"/>
      <c r="MOJ69"/>
      <c r="MOK69" s="140"/>
      <c r="MOL69" s="149"/>
      <c r="MOM69"/>
      <c r="MON69" s="142"/>
      <c r="MOO69" s="143"/>
      <c r="MOP69" s="144"/>
      <c r="MOQ69" s="144"/>
      <c r="MOR69" s="143"/>
      <c r="MOS69" s="145"/>
      <c r="MOT69" s="143"/>
      <c r="MOU69" s="145"/>
      <c r="MOV69" s="146"/>
      <c r="MOW69" s="147"/>
      <c r="MOX69"/>
      <c r="MOY69" s="148"/>
      <c r="MOZ69"/>
      <c r="MPA69" s="140"/>
      <c r="MPB69" s="149"/>
      <c r="MPC69"/>
      <c r="MPD69" s="142"/>
      <c r="MPE69" s="143"/>
      <c r="MPF69" s="144"/>
      <c r="MPG69" s="144"/>
      <c r="MPH69" s="143"/>
      <c r="MPI69" s="145"/>
      <c r="MPJ69" s="143"/>
      <c r="MPK69" s="145"/>
      <c r="MPL69" s="146"/>
      <c r="MPM69" s="147"/>
      <c r="MPN69"/>
      <c r="MPO69" s="148"/>
      <c r="MPP69"/>
      <c r="MPQ69" s="140"/>
      <c r="MPR69" s="149"/>
      <c r="MPS69"/>
      <c r="MPT69" s="142"/>
      <c r="MPU69" s="143"/>
      <c r="MPV69" s="144"/>
      <c r="MPW69" s="144"/>
      <c r="MPX69" s="143"/>
      <c r="MPY69" s="145"/>
      <c r="MPZ69" s="143"/>
      <c r="MQA69" s="145"/>
      <c r="MQB69" s="146"/>
      <c r="MQC69" s="147"/>
      <c r="MQD69"/>
      <c r="MQE69" s="148"/>
      <c r="MQF69"/>
      <c r="MQG69" s="140"/>
      <c r="MQH69" s="149"/>
      <c r="MQI69"/>
      <c r="MQJ69" s="142"/>
      <c r="MQK69" s="143"/>
      <c r="MQL69" s="144"/>
      <c r="MQM69" s="144"/>
      <c r="MQN69" s="143"/>
      <c r="MQO69" s="145"/>
      <c r="MQP69" s="143"/>
      <c r="MQQ69" s="145"/>
      <c r="MQR69" s="146"/>
      <c r="MQS69" s="147"/>
      <c r="MQT69"/>
      <c r="MQU69" s="148"/>
      <c r="MQV69"/>
      <c r="MQW69" s="140"/>
      <c r="MQX69" s="149"/>
      <c r="MQY69"/>
      <c r="MQZ69" s="142"/>
      <c r="MRA69" s="143"/>
      <c r="MRB69" s="144"/>
      <c r="MRC69" s="144"/>
      <c r="MRD69" s="143"/>
      <c r="MRE69" s="145"/>
      <c r="MRF69" s="143"/>
      <c r="MRG69" s="145"/>
      <c r="MRH69" s="146"/>
      <c r="MRI69" s="147"/>
      <c r="MRJ69"/>
      <c r="MRK69" s="148"/>
      <c r="MRL69"/>
      <c r="MRM69" s="140"/>
      <c r="MRN69" s="149"/>
      <c r="MRO69"/>
      <c r="MRP69" s="142"/>
      <c r="MRQ69" s="143"/>
      <c r="MRR69" s="144"/>
      <c r="MRS69" s="144"/>
      <c r="MRT69" s="143"/>
      <c r="MRU69" s="145"/>
      <c r="MRV69" s="143"/>
      <c r="MRW69" s="145"/>
      <c r="MRX69" s="146"/>
      <c r="MRY69" s="147"/>
      <c r="MRZ69"/>
      <c r="MSA69" s="148"/>
      <c r="MSB69"/>
      <c r="MSC69" s="140"/>
      <c r="MSD69" s="149"/>
      <c r="MSE69"/>
      <c r="MSF69" s="142"/>
      <c r="MSG69" s="143"/>
      <c r="MSH69" s="144"/>
      <c r="MSI69" s="144"/>
      <c r="MSJ69" s="143"/>
      <c r="MSK69" s="145"/>
      <c r="MSL69" s="143"/>
      <c r="MSM69" s="145"/>
      <c r="MSN69" s="146"/>
      <c r="MSO69" s="147"/>
      <c r="MSP69"/>
      <c r="MSQ69" s="148"/>
      <c r="MSR69"/>
      <c r="MSS69" s="140"/>
      <c r="MST69" s="149"/>
      <c r="MSU69"/>
      <c r="MSV69" s="142"/>
      <c r="MSW69" s="143"/>
      <c r="MSX69" s="144"/>
      <c r="MSY69" s="144"/>
      <c r="MSZ69" s="143"/>
      <c r="MTA69" s="145"/>
      <c r="MTB69" s="143"/>
      <c r="MTC69" s="145"/>
      <c r="MTD69" s="146"/>
      <c r="MTE69" s="147"/>
      <c r="MTF69"/>
      <c r="MTG69" s="148"/>
      <c r="MTH69"/>
      <c r="MTI69" s="140"/>
      <c r="MTJ69" s="149"/>
      <c r="MTK69"/>
      <c r="MTL69" s="142"/>
      <c r="MTM69" s="143"/>
      <c r="MTN69" s="144"/>
      <c r="MTO69" s="144"/>
      <c r="MTP69" s="143"/>
      <c r="MTQ69" s="145"/>
      <c r="MTR69" s="143"/>
      <c r="MTS69" s="145"/>
      <c r="MTT69" s="146"/>
      <c r="MTU69" s="147"/>
      <c r="MTV69"/>
      <c r="MTW69" s="148"/>
      <c r="MTX69"/>
      <c r="MTY69" s="140"/>
      <c r="MTZ69" s="149"/>
      <c r="MUA69"/>
      <c r="MUB69" s="142"/>
      <c r="MUC69" s="143"/>
      <c r="MUD69" s="144"/>
      <c r="MUE69" s="144"/>
      <c r="MUF69" s="143"/>
      <c r="MUG69" s="145"/>
      <c r="MUH69" s="143"/>
      <c r="MUI69" s="145"/>
      <c r="MUJ69" s="146"/>
      <c r="MUK69" s="147"/>
      <c r="MUL69"/>
      <c r="MUM69" s="148"/>
      <c r="MUN69"/>
      <c r="MUO69" s="140"/>
      <c r="MUP69" s="149"/>
      <c r="MUQ69"/>
      <c r="MUR69" s="142"/>
      <c r="MUS69" s="143"/>
      <c r="MUT69" s="144"/>
      <c r="MUU69" s="144"/>
      <c r="MUV69" s="143"/>
      <c r="MUW69" s="145"/>
      <c r="MUX69" s="143"/>
      <c r="MUY69" s="145"/>
      <c r="MUZ69" s="146"/>
      <c r="MVA69" s="147"/>
      <c r="MVB69"/>
      <c r="MVC69" s="148"/>
      <c r="MVD69"/>
      <c r="MVE69" s="140"/>
      <c r="MVF69" s="149"/>
      <c r="MVG69"/>
      <c r="MVH69" s="142"/>
      <c r="MVI69" s="143"/>
      <c r="MVJ69" s="144"/>
      <c r="MVK69" s="144"/>
      <c r="MVL69" s="143"/>
      <c r="MVM69" s="145"/>
      <c r="MVN69" s="143"/>
      <c r="MVO69" s="145"/>
      <c r="MVP69" s="146"/>
      <c r="MVQ69" s="147"/>
      <c r="MVR69"/>
      <c r="MVS69" s="148"/>
      <c r="MVT69"/>
      <c r="MVU69" s="140"/>
      <c r="MVV69" s="149"/>
      <c r="MVW69"/>
      <c r="MVX69" s="142"/>
      <c r="MVY69" s="143"/>
      <c r="MVZ69" s="144"/>
      <c r="MWA69" s="144"/>
      <c r="MWB69" s="143"/>
      <c r="MWC69" s="145"/>
      <c r="MWD69" s="143"/>
      <c r="MWE69" s="145"/>
      <c r="MWF69" s="146"/>
      <c r="MWG69" s="147"/>
      <c r="MWH69"/>
      <c r="MWI69" s="148"/>
      <c r="MWJ69"/>
      <c r="MWK69" s="140"/>
      <c r="MWL69" s="149"/>
      <c r="MWM69"/>
      <c r="MWN69" s="142"/>
      <c r="MWO69" s="143"/>
      <c r="MWP69" s="144"/>
      <c r="MWQ69" s="144"/>
      <c r="MWR69" s="143"/>
      <c r="MWS69" s="145"/>
      <c r="MWT69" s="143"/>
      <c r="MWU69" s="145"/>
      <c r="MWV69" s="146"/>
      <c r="MWW69" s="147"/>
      <c r="MWX69"/>
      <c r="MWY69" s="148"/>
      <c r="MWZ69"/>
      <c r="MXA69" s="140"/>
      <c r="MXB69" s="149"/>
      <c r="MXC69"/>
      <c r="MXD69" s="142"/>
      <c r="MXE69" s="143"/>
      <c r="MXF69" s="144"/>
      <c r="MXG69" s="144"/>
      <c r="MXH69" s="143"/>
      <c r="MXI69" s="145"/>
      <c r="MXJ69" s="143"/>
      <c r="MXK69" s="145"/>
      <c r="MXL69" s="146"/>
      <c r="MXM69" s="147"/>
      <c r="MXN69"/>
      <c r="MXO69" s="148"/>
      <c r="MXP69"/>
      <c r="MXQ69" s="140"/>
      <c r="MXR69" s="149"/>
      <c r="MXS69"/>
      <c r="MXT69" s="142"/>
      <c r="MXU69" s="143"/>
      <c r="MXV69" s="144"/>
      <c r="MXW69" s="144"/>
      <c r="MXX69" s="143"/>
      <c r="MXY69" s="145"/>
      <c r="MXZ69" s="143"/>
      <c r="MYA69" s="145"/>
      <c r="MYB69" s="146"/>
      <c r="MYC69" s="147"/>
      <c r="MYD69"/>
      <c r="MYE69" s="148"/>
      <c r="MYF69"/>
      <c r="MYG69" s="140"/>
      <c r="MYH69" s="149"/>
      <c r="MYI69"/>
      <c r="MYJ69" s="142"/>
      <c r="MYK69" s="143"/>
      <c r="MYL69" s="144"/>
      <c r="MYM69" s="144"/>
      <c r="MYN69" s="143"/>
      <c r="MYO69" s="145"/>
      <c r="MYP69" s="143"/>
      <c r="MYQ69" s="145"/>
      <c r="MYR69" s="146"/>
      <c r="MYS69" s="147"/>
      <c r="MYT69"/>
      <c r="MYU69" s="148"/>
      <c r="MYV69"/>
      <c r="MYW69" s="140"/>
      <c r="MYX69" s="149"/>
      <c r="MYY69"/>
      <c r="MYZ69" s="142"/>
      <c r="MZA69" s="143"/>
      <c r="MZB69" s="144"/>
      <c r="MZC69" s="144"/>
      <c r="MZD69" s="143"/>
      <c r="MZE69" s="145"/>
      <c r="MZF69" s="143"/>
      <c r="MZG69" s="145"/>
      <c r="MZH69" s="146"/>
      <c r="MZI69" s="147"/>
      <c r="MZJ69"/>
      <c r="MZK69" s="148"/>
      <c r="MZL69"/>
      <c r="MZM69" s="140"/>
      <c r="MZN69" s="149"/>
      <c r="MZO69"/>
      <c r="MZP69" s="142"/>
      <c r="MZQ69" s="143"/>
      <c r="MZR69" s="144"/>
      <c r="MZS69" s="144"/>
      <c r="MZT69" s="143"/>
      <c r="MZU69" s="145"/>
      <c r="MZV69" s="143"/>
      <c r="MZW69" s="145"/>
      <c r="MZX69" s="146"/>
      <c r="MZY69" s="147"/>
      <c r="MZZ69"/>
      <c r="NAA69" s="148"/>
      <c r="NAB69"/>
      <c r="NAC69" s="140"/>
      <c r="NAD69" s="149"/>
      <c r="NAE69"/>
      <c r="NAF69" s="142"/>
      <c r="NAG69" s="143"/>
      <c r="NAH69" s="144"/>
      <c r="NAI69" s="144"/>
      <c r="NAJ69" s="143"/>
      <c r="NAK69" s="145"/>
      <c r="NAL69" s="143"/>
      <c r="NAM69" s="145"/>
      <c r="NAN69" s="146"/>
      <c r="NAO69" s="147"/>
      <c r="NAP69"/>
      <c r="NAQ69" s="148"/>
      <c r="NAR69"/>
      <c r="NAS69" s="140"/>
      <c r="NAT69" s="149"/>
      <c r="NAU69"/>
      <c r="NAV69" s="142"/>
      <c r="NAW69" s="143"/>
      <c r="NAX69" s="144"/>
      <c r="NAY69" s="144"/>
      <c r="NAZ69" s="143"/>
      <c r="NBA69" s="145"/>
      <c r="NBB69" s="143"/>
      <c r="NBC69" s="145"/>
      <c r="NBD69" s="146"/>
      <c r="NBE69" s="147"/>
      <c r="NBF69"/>
      <c r="NBG69" s="148"/>
      <c r="NBH69"/>
      <c r="NBI69" s="140"/>
      <c r="NBJ69" s="149"/>
      <c r="NBK69"/>
      <c r="NBL69" s="142"/>
      <c r="NBM69" s="143"/>
      <c r="NBN69" s="144"/>
      <c r="NBO69" s="144"/>
      <c r="NBP69" s="143"/>
      <c r="NBQ69" s="145"/>
      <c r="NBR69" s="143"/>
      <c r="NBS69" s="145"/>
      <c r="NBT69" s="146"/>
      <c r="NBU69" s="147"/>
      <c r="NBV69"/>
      <c r="NBW69" s="148"/>
      <c r="NBX69"/>
      <c r="NBY69" s="140"/>
      <c r="NBZ69" s="149"/>
      <c r="NCA69"/>
      <c r="NCB69" s="142"/>
      <c r="NCC69" s="143"/>
      <c r="NCD69" s="144"/>
      <c r="NCE69" s="144"/>
      <c r="NCF69" s="143"/>
      <c r="NCG69" s="145"/>
      <c r="NCH69" s="143"/>
      <c r="NCI69" s="145"/>
      <c r="NCJ69" s="146"/>
      <c r="NCK69" s="147"/>
      <c r="NCL69"/>
      <c r="NCM69" s="148"/>
      <c r="NCN69"/>
      <c r="NCO69" s="140"/>
      <c r="NCP69" s="149"/>
      <c r="NCQ69"/>
      <c r="NCR69" s="142"/>
      <c r="NCS69" s="143"/>
      <c r="NCT69" s="144"/>
      <c r="NCU69" s="144"/>
      <c r="NCV69" s="143"/>
      <c r="NCW69" s="145"/>
      <c r="NCX69" s="143"/>
      <c r="NCY69" s="145"/>
      <c r="NCZ69" s="146"/>
      <c r="NDA69" s="147"/>
      <c r="NDB69"/>
      <c r="NDC69" s="148"/>
      <c r="NDD69"/>
      <c r="NDE69" s="140"/>
      <c r="NDF69" s="149"/>
      <c r="NDG69"/>
      <c r="NDH69" s="142"/>
      <c r="NDI69" s="143"/>
      <c r="NDJ69" s="144"/>
      <c r="NDK69" s="144"/>
      <c r="NDL69" s="143"/>
      <c r="NDM69" s="145"/>
      <c r="NDN69" s="143"/>
      <c r="NDO69" s="145"/>
      <c r="NDP69" s="146"/>
      <c r="NDQ69" s="147"/>
      <c r="NDR69"/>
      <c r="NDS69" s="148"/>
      <c r="NDT69"/>
      <c r="NDU69" s="140"/>
      <c r="NDV69" s="149"/>
      <c r="NDW69"/>
      <c r="NDX69" s="142"/>
      <c r="NDY69" s="143"/>
      <c r="NDZ69" s="144"/>
      <c r="NEA69" s="144"/>
      <c r="NEB69" s="143"/>
      <c r="NEC69" s="145"/>
      <c r="NED69" s="143"/>
      <c r="NEE69" s="145"/>
      <c r="NEF69" s="146"/>
      <c r="NEG69" s="147"/>
      <c r="NEH69"/>
      <c r="NEI69" s="148"/>
      <c r="NEJ69"/>
      <c r="NEK69" s="140"/>
      <c r="NEL69" s="149"/>
      <c r="NEM69"/>
      <c r="NEN69" s="142"/>
      <c r="NEO69" s="143"/>
      <c r="NEP69" s="144"/>
      <c r="NEQ69" s="144"/>
      <c r="NER69" s="143"/>
      <c r="NES69" s="145"/>
      <c r="NET69" s="143"/>
      <c r="NEU69" s="145"/>
      <c r="NEV69" s="146"/>
      <c r="NEW69" s="147"/>
      <c r="NEX69"/>
      <c r="NEY69" s="148"/>
      <c r="NEZ69"/>
      <c r="NFA69" s="140"/>
      <c r="NFB69" s="149"/>
      <c r="NFC69"/>
      <c r="NFD69" s="142"/>
      <c r="NFE69" s="143"/>
      <c r="NFF69" s="144"/>
      <c r="NFG69" s="144"/>
      <c r="NFH69" s="143"/>
      <c r="NFI69" s="145"/>
      <c r="NFJ69" s="143"/>
      <c r="NFK69" s="145"/>
      <c r="NFL69" s="146"/>
      <c r="NFM69" s="147"/>
      <c r="NFN69"/>
      <c r="NFO69" s="148"/>
      <c r="NFP69"/>
      <c r="NFQ69" s="140"/>
      <c r="NFR69" s="149"/>
      <c r="NFS69"/>
      <c r="NFT69" s="142"/>
      <c r="NFU69" s="143"/>
      <c r="NFV69" s="144"/>
      <c r="NFW69" s="144"/>
      <c r="NFX69" s="143"/>
      <c r="NFY69" s="145"/>
      <c r="NFZ69" s="143"/>
      <c r="NGA69" s="145"/>
      <c r="NGB69" s="146"/>
      <c r="NGC69" s="147"/>
      <c r="NGD69"/>
      <c r="NGE69" s="148"/>
      <c r="NGF69"/>
      <c r="NGG69" s="140"/>
      <c r="NGH69" s="149"/>
      <c r="NGI69"/>
      <c r="NGJ69" s="142"/>
      <c r="NGK69" s="143"/>
      <c r="NGL69" s="144"/>
      <c r="NGM69" s="144"/>
      <c r="NGN69" s="143"/>
      <c r="NGO69" s="145"/>
      <c r="NGP69" s="143"/>
      <c r="NGQ69" s="145"/>
      <c r="NGR69" s="146"/>
      <c r="NGS69" s="147"/>
      <c r="NGT69"/>
      <c r="NGU69" s="148"/>
      <c r="NGV69"/>
      <c r="NGW69" s="140"/>
      <c r="NGX69" s="149"/>
      <c r="NGY69"/>
      <c r="NGZ69" s="142"/>
      <c r="NHA69" s="143"/>
      <c r="NHB69" s="144"/>
      <c r="NHC69" s="144"/>
      <c r="NHD69" s="143"/>
      <c r="NHE69" s="145"/>
      <c r="NHF69" s="143"/>
      <c r="NHG69" s="145"/>
      <c r="NHH69" s="146"/>
      <c r="NHI69" s="147"/>
      <c r="NHJ69"/>
      <c r="NHK69" s="148"/>
      <c r="NHL69"/>
      <c r="NHM69" s="140"/>
      <c r="NHN69" s="149"/>
      <c r="NHO69"/>
      <c r="NHP69" s="142"/>
      <c r="NHQ69" s="143"/>
      <c r="NHR69" s="144"/>
      <c r="NHS69" s="144"/>
      <c r="NHT69" s="143"/>
      <c r="NHU69" s="145"/>
      <c r="NHV69" s="143"/>
      <c r="NHW69" s="145"/>
      <c r="NHX69" s="146"/>
      <c r="NHY69" s="147"/>
      <c r="NHZ69"/>
      <c r="NIA69" s="148"/>
      <c r="NIB69"/>
      <c r="NIC69" s="140"/>
      <c r="NID69" s="149"/>
      <c r="NIE69"/>
      <c r="NIF69" s="142"/>
      <c r="NIG69" s="143"/>
      <c r="NIH69" s="144"/>
      <c r="NII69" s="144"/>
      <c r="NIJ69" s="143"/>
      <c r="NIK69" s="145"/>
      <c r="NIL69" s="143"/>
      <c r="NIM69" s="145"/>
      <c r="NIN69" s="146"/>
      <c r="NIO69" s="147"/>
      <c r="NIP69"/>
      <c r="NIQ69" s="148"/>
      <c r="NIR69"/>
      <c r="NIS69" s="140"/>
      <c r="NIT69" s="149"/>
      <c r="NIU69"/>
      <c r="NIV69" s="142"/>
      <c r="NIW69" s="143"/>
      <c r="NIX69" s="144"/>
      <c r="NIY69" s="144"/>
      <c r="NIZ69" s="143"/>
      <c r="NJA69" s="145"/>
      <c r="NJB69" s="143"/>
      <c r="NJC69" s="145"/>
      <c r="NJD69" s="146"/>
      <c r="NJE69" s="147"/>
      <c r="NJF69"/>
      <c r="NJG69" s="148"/>
      <c r="NJH69"/>
      <c r="NJI69" s="140"/>
      <c r="NJJ69" s="149"/>
      <c r="NJK69"/>
      <c r="NJL69" s="142"/>
      <c r="NJM69" s="143"/>
      <c r="NJN69" s="144"/>
      <c r="NJO69" s="144"/>
      <c r="NJP69" s="143"/>
      <c r="NJQ69" s="145"/>
      <c r="NJR69" s="143"/>
      <c r="NJS69" s="145"/>
      <c r="NJT69" s="146"/>
      <c r="NJU69" s="147"/>
      <c r="NJV69"/>
      <c r="NJW69" s="148"/>
      <c r="NJX69"/>
      <c r="NJY69" s="140"/>
      <c r="NJZ69" s="149"/>
      <c r="NKA69"/>
      <c r="NKB69" s="142"/>
      <c r="NKC69" s="143"/>
      <c r="NKD69" s="144"/>
      <c r="NKE69" s="144"/>
      <c r="NKF69" s="143"/>
      <c r="NKG69" s="145"/>
      <c r="NKH69" s="143"/>
      <c r="NKI69" s="145"/>
      <c r="NKJ69" s="146"/>
      <c r="NKK69" s="147"/>
      <c r="NKL69"/>
      <c r="NKM69" s="148"/>
      <c r="NKN69"/>
      <c r="NKO69" s="140"/>
      <c r="NKP69" s="149"/>
      <c r="NKQ69"/>
      <c r="NKR69" s="142"/>
      <c r="NKS69" s="143"/>
      <c r="NKT69" s="144"/>
      <c r="NKU69" s="144"/>
      <c r="NKV69" s="143"/>
      <c r="NKW69" s="145"/>
      <c r="NKX69" s="143"/>
      <c r="NKY69" s="145"/>
      <c r="NKZ69" s="146"/>
      <c r="NLA69" s="147"/>
      <c r="NLB69"/>
      <c r="NLC69" s="148"/>
      <c r="NLD69"/>
      <c r="NLE69" s="140"/>
      <c r="NLF69" s="149"/>
      <c r="NLG69"/>
      <c r="NLH69" s="142"/>
      <c r="NLI69" s="143"/>
      <c r="NLJ69" s="144"/>
      <c r="NLK69" s="144"/>
      <c r="NLL69" s="143"/>
      <c r="NLM69" s="145"/>
      <c r="NLN69" s="143"/>
      <c r="NLO69" s="145"/>
      <c r="NLP69" s="146"/>
      <c r="NLQ69" s="147"/>
      <c r="NLR69"/>
      <c r="NLS69" s="148"/>
      <c r="NLT69"/>
      <c r="NLU69" s="140"/>
      <c r="NLV69" s="149"/>
      <c r="NLW69"/>
      <c r="NLX69" s="142"/>
      <c r="NLY69" s="143"/>
      <c r="NLZ69" s="144"/>
      <c r="NMA69" s="144"/>
      <c r="NMB69" s="143"/>
      <c r="NMC69" s="145"/>
      <c r="NMD69" s="143"/>
      <c r="NME69" s="145"/>
      <c r="NMF69" s="146"/>
      <c r="NMG69" s="147"/>
      <c r="NMH69"/>
      <c r="NMI69" s="148"/>
      <c r="NMJ69"/>
      <c r="NMK69" s="140"/>
      <c r="NML69" s="149"/>
      <c r="NMM69"/>
      <c r="NMN69" s="142"/>
      <c r="NMO69" s="143"/>
      <c r="NMP69" s="144"/>
      <c r="NMQ69" s="144"/>
      <c r="NMR69" s="143"/>
      <c r="NMS69" s="145"/>
      <c r="NMT69" s="143"/>
      <c r="NMU69" s="145"/>
      <c r="NMV69" s="146"/>
      <c r="NMW69" s="147"/>
      <c r="NMX69"/>
      <c r="NMY69" s="148"/>
      <c r="NMZ69"/>
      <c r="NNA69" s="140"/>
      <c r="NNB69" s="149"/>
      <c r="NNC69"/>
      <c r="NND69" s="142"/>
      <c r="NNE69" s="143"/>
      <c r="NNF69" s="144"/>
      <c r="NNG69" s="144"/>
      <c r="NNH69" s="143"/>
      <c r="NNI69" s="145"/>
      <c r="NNJ69" s="143"/>
      <c r="NNK69" s="145"/>
      <c r="NNL69" s="146"/>
      <c r="NNM69" s="147"/>
      <c r="NNN69"/>
      <c r="NNO69" s="148"/>
      <c r="NNP69"/>
      <c r="NNQ69" s="140"/>
      <c r="NNR69" s="149"/>
      <c r="NNS69"/>
      <c r="NNT69" s="142"/>
      <c r="NNU69" s="143"/>
      <c r="NNV69" s="144"/>
      <c r="NNW69" s="144"/>
      <c r="NNX69" s="143"/>
      <c r="NNY69" s="145"/>
      <c r="NNZ69" s="143"/>
      <c r="NOA69" s="145"/>
      <c r="NOB69" s="146"/>
      <c r="NOC69" s="147"/>
      <c r="NOD69"/>
      <c r="NOE69" s="148"/>
      <c r="NOF69"/>
      <c r="NOG69" s="140"/>
      <c r="NOH69" s="149"/>
      <c r="NOI69"/>
      <c r="NOJ69" s="142"/>
      <c r="NOK69" s="143"/>
      <c r="NOL69" s="144"/>
      <c r="NOM69" s="144"/>
      <c r="NON69" s="143"/>
      <c r="NOO69" s="145"/>
      <c r="NOP69" s="143"/>
      <c r="NOQ69" s="145"/>
      <c r="NOR69" s="146"/>
      <c r="NOS69" s="147"/>
      <c r="NOT69"/>
      <c r="NOU69" s="148"/>
      <c r="NOV69"/>
      <c r="NOW69" s="140"/>
      <c r="NOX69" s="149"/>
      <c r="NOY69"/>
      <c r="NOZ69" s="142"/>
      <c r="NPA69" s="143"/>
      <c r="NPB69" s="144"/>
      <c r="NPC69" s="144"/>
      <c r="NPD69" s="143"/>
      <c r="NPE69" s="145"/>
      <c r="NPF69" s="143"/>
      <c r="NPG69" s="145"/>
      <c r="NPH69" s="146"/>
      <c r="NPI69" s="147"/>
      <c r="NPJ69"/>
      <c r="NPK69" s="148"/>
      <c r="NPL69"/>
      <c r="NPM69" s="140"/>
      <c r="NPN69" s="149"/>
      <c r="NPO69"/>
      <c r="NPP69" s="142"/>
      <c r="NPQ69" s="143"/>
      <c r="NPR69" s="144"/>
      <c r="NPS69" s="144"/>
      <c r="NPT69" s="143"/>
      <c r="NPU69" s="145"/>
      <c r="NPV69" s="143"/>
      <c r="NPW69" s="145"/>
      <c r="NPX69" s="146"/>
      <c r="NPY69" s="147"/>
      <c r="NPZ69"/>
      <c r="NQA69" s="148"/>
      <c r="NQB69"/>
      <c r="NQC69" s="140"/>
      <c r="NQD69" s="149"/>
      <c r="NQE69"/>
      <c r="NQF69" s="142"/>
      <c r="NQG69" s="143"/>
      <c r="NQH69" s="144"/>
      <c r="NQI69" s="144"/>
      <c r="NQJ69" s="143"/>
      <c r="NQK69" s="145"/>
      <c r="NQL69" s="143"/>
      <c r="NQM69" s="145"/>
      <c r="NQN69" s="146"/>
      <c r="NQO69" s="147"/>
      <c r="NQP69"/>
      <c r="NQQ69" s="148"/>
      <c r="NQR69"/>
      <c r="NQS69" s="140"/>
      <c r="NQT69" s="149"/>
      <c r="NQU69"/>
      <c r="NQV69" s="142"/>
      <c r="NQW69" s="143"/>
      <c r="NQX69" s="144"/>
      <c r="NQY69" s="144"/>
      <c r="NQZ69" s="143"/>
      <c r="NRA69" s="145"/>
      <c r="NRB69" s="143"/>
      <c r="NRC69" s="145"/>
      <c r="NRD69" s="146"/>
      <c r="NRE69" s="147"/>
      <c r="NRF69"/>
      <c r="NRG69" s="148"/>
      <c r="NRH69"/>
      <c r="NRI69" s="140"/>
      <c r="NRJ69" s="149"/>
      <c r="NRK69"/>
      <c r="NRL69" s="142"/>
      <c r="NRM69" s="143"/>
      <c r="NRN69" s="144"/>
      <c r="NRO69" s="144"/>
      <c r="NRP69" s="143"/>
      <c r="NRQ69" s="145"/>
      <c r="NRR69" s="143"/>
      <c r="NRS69" s="145"/>
      <c r="NRT69" s="146"/>
      <c r="NRU69" s="147"/>
      <c r="NRV69"/>
      <c r="NRW69" s="148"/>
      <c r="NRX69"/>
      <c r="NRY69" s="140"/>
      <c r="NRZ69" s="149"/>
      <c r="NSA69"/>
      <c r="NSB69" s="142"/>
      <c r="NSC69" s="143"/>
      <c r="NSD69" s="144"/>
      <c r="NSE69" s="144"/>
      <c r="NSF69" s="143"/>
      <c r="NSG69" s="145"/>
      <c r="NSH69" s="143"/>
      <c r="NSI69" s="145"/>
      <c r="NSJ69" s="146"/>
      <c r="NSK69" s="147"/>
      <c r="NSL69"/>
      <c r="NSM69" s="148"/>
      <c r="NSN69"/>
      <c r="NSO69" s="140"/>
      <c r="NSP69" s="149"/>
      <c r="NSQ69"/>
      <c r="NSR69" s="142"/>
      <c r="NSS69" s="143"/>
      <c r="NST69" s="144"/>
      <c r="NSU69" s="144"/>
      <c r="NSV69" s="143"/>
      <c r="NSW69" s="145"/>
      <c r="NSX69" s="143"/>
      <c r="NSY69" s="145"/>
      <c r="NSZ69" s="146"/>
      <c r="NTA69" s="147"/>
      <c r="NTB69"/>
      <c r="NTC69" s="148"/>
      <c r="NTD69"/>
      <c r="NTE69" s="140"/>
      <c r="NTF69" s="149"/>
      <c r="NTG69"/>
      <c r="NTH69" s="142"/>
      <c r="NTI69" s="143"/>
      <c r="NTJ69" s="144"/>
      <c r="NTK69" s="144"/>
      <c r="NTL69" s="143"/>
      <c r="NTM69" s="145"/>
      <c r="NTN69" s="143"/>
      <c r="NTO69" s="145"/>
      <c r="NTP69" s="146"/>
      <c r="NTQ69" s="147"/>
      <c r="NTR69"/>
      <c r="NTS69" s="148"/>
      <c r="NTT69"/>
      <c r="NTU69" s="140"/>
      <c r="NTV69" s="149"/>
      <c r="NTW69"/>
      <c r="NTX69" s="142"/>
      <c r="NTY69" s="143"/>
      <c r="NTZ69" s="144"/>
      <c r="NUA69" s="144"/>
      <c r="NUB69" s="143"/>
      <c r="NUC69" s="145"/>
      <c r="NUD69" s="143"/>
      <c r="NUE69" s="145"/>
      <c r="NUF69" s="146"/>
      <c r="NUG69" s="147"/>
      <c r="NUH69"/>
      <c r="NUI69" s="148"/>
      <c r="NUJ69"/>
      <c r="NUK69" s="140"/>
      <c r="NUL69" s="149"/>
      <c r="NUM69"/>
      <c r="NUN69" s="142"/>
      <c r="NUO69" s="143"/>
      <c r="NUP69" s="144"/>
      <c r="NUQ69" s="144"/>
      <c r="NUR69" s="143"/>
      <c r="NUS69" s="145"/>
      <c r="NUT69" s="143"/>
      <c r="NUU69" s="145"/>
      <c r="NUV69" s="146"/>
      <c r="NUW69" s="147"/>
      <c r="NUX69"/>
      <c r="NUY69" s="148"/>
      <c r="NUZ69"/>
      <c r="NVA69" s="140"/>
      <c r="NVB69" s="149"/>
      <c r="NVC69"/>
      <c r="NVD69" s="142"/>
      <c r="NVE69" s="143"/>
      <c r="NVF69" s="144"/>
      <c r="NVG69" s="144"/>
      <c r="NVH69" s="143"/>
      <c r="NVI69" s="145"/>
      <c r="NVJ69" s="143"/>
      <c r="NVK69" s="145"/>
      <c r="NVL69" s="146"/>
      <c r="NVM69" s="147"/>
      <c r="NVN69"/>
      <c r="NVO69" s="148"/>
      <c r="NVP69"/>
      <c r="NVQ69" s="140"/>
      <c r="NVR69" s="149"/>
      <c r="NVS69"/>
      <c r="NVT69" s="142"/>
      <c r="NVU69" s="143"/>
      <c r="NVV69" s="144"/>
      <c r="NVW69" s="144"/>
      <c r="NVX69" s="143"/>
      <c r="NVY69" s="145"/>
      <c r="NVZ69" s="143"/>
      <c r="NWA69" s="145"/>
      <c r="NWB69" s="146"/>
      <c r="NWC69" s="147"/>
      <c r="NWD69"/>
      <c r="NWE69" s="148"/>
      <c r="NWF69"/>
      <c r="NWG69" s="140"/>
      <c r="NWH69" s="149"/>
      <c r="NWI69"/>
      <c r="NWJ69" s="142"/>
      <c r="NWK69" s="143"/>
      <c r="NWL69" s="144"/>
      <c r="NWM69" s="144"/>
      <c r="NWN69" s="143"/>
      <c r="NWO69" s="145"/>
      <c r="NWP69" s="143"/>
      <c r="NWQ69" s="145"/>
      <c r="NWR69" s="146"/>
      <c r="NWS69" s="147"/>
      <c r="NWT69"/>
      <c r="NWU69" s="148"/>
      <c r="NWV69"/>
      <c r="NWW69" s="140"/>
      <c r="NWX69" s="149"/>
      <c r="NWY69"/>
      <c r="NWZ69" s="142"/>
      <c r="NXA69" s="143"/>
      <c r="NXB69" s="144"/>
      <c r="NXC69" s="144"/>
      <c r="NXD69" s="143"/>
      <c r="NXE69" s="145"/>
      <c r="NXF69" s="143"/>
      <c r="NXG69" s="145"/>
      <c r="NXH69" s="146"/>
      <c r="NXI69" s="147"/>
      <c r="NXJ69"/>
      <c r="NXK69" s="148"/>
      <c r="NXL69"/>
      <c r="NXM69" s="140"/>
      <c r="NXN69" s="149"/>
      <c r="NXO69"/>
      <c r="NXP69" s="142"/>
      <c r="NXQ69" s="143"/>
      <c r="NXR69" s="144"/>
      <c r="NXS69" s="144"/>
      <c r="NXT69" s="143"/>
      <c r="NXU69" s="145"/>
      <c r="NXV69" s="143"/>
      <c r="NXW69" s="145"/>
      <c r="NXX69" s="146"/>
      <c r="NXY69" s="147"/>
      <c r="NXZ69"/>
      <c r="NYA69" s="148"/>
      <c r="NYB69"/>
      <c r="NYC69" s="140"/>
      <c r="NYD69" s="149"/>
      <c r="NYE69"/>
      <c r="NYF69" s="142"/>
      <c r="NYG69" s="143"/>
      <c r="NYH69" s="144"/>
      <c r="NYI69" s="144"/>
      <c r="NYJ69" s="143"/>
      <c r="NYK69" s="145"/>
      <c r="NYL69" s="143"/>
      <c r="NYM69" s="145"/>
      <c r="NYN69" s="146"/>
      <c r="NYO69" s="147"/>
      <c r="NYP69"/>
      <c r="NYQ69" s="148"/>
      <c r="NYR69"/>
      <c r="NYS69" s="140"/>
      <c r="NYT69" s="149"/>
      <c r="NYU69"/>
      <c r="NYV69" s="142"/>
      <c r="NYW69" s="143"/>
      <c r="NYX69" s="144"/>
      <c r="NYY69" s="144"/>
      <c r="NYZ69" s="143"/>
      <c r="NZA69" s="145"/>
      <c r="NZB69" s="143"/>
      <c r="NZC69" s="145"/>
      <c r="NZD69" s="146"/>
      <c r="NZE69" s="147"/>
      <c r="NZF69"/>
      <c r="NZG69" s="148"/>
      <c r="NZH69"/>
      <c r="NZI69" s="140"/>
      <c r="NZJ69" s="149"/>
      <c r="NZK69"/>
      <c r="NZL69" s="142"/>
      <c r="NZM69" s="143"/>
      <c r="NZN69" s="144"/>
      <c r="NZO69" s="144"/>
      <c r="NZP69" s="143"/>
      <c r="NZQ69" s="145"/>
      <c r="NZR69" s="143"/>
      <c r="NZS69" s="145"/>
      <c r="NZT69" s="146"/>
      <c r="NZU69" s="147"/>
      <c r="NZV69"/>
      <c r="NZW69" s="148"/>
      <c r="NZX69"/>
      <c r="NZY69" s="140"/>
      <c r="NZZ69" s="149"/>
      <c r="OAA69"/>
      <c r="OAB69" s="142"/>
      <c r="OAC69" s="143"/>
      <c r="OAD69" s="144"/>
      <c r="OAE69" s="144"/>
      <c r="OAF69" s="143"/>
      <c r="OAG69" s="145"/>
      <c r="OAH69" s="143"/>
      <c r="OAI69" s="145"/>
      <c r="OAJ69" s="146"/>
      <c r="OAK69" s="147"/>
      <c r="OAL69"/>
      <c r="OAM69" s="148"/>
      <c r="OAN69"/>
      <c r="OAO69" s="140"/>
      <c r="OAP69" s="149"/>
      <c r="OAQ69"/>
      <c r="OAR69" s="142"/>
      <c r="OAS69" s="143"/>
      <c r="OAT69" s="144"/>
      <c r="OAU69" s="144"/>
      <c r="OAV69" s="143"/>
      <c r="OAW69" s="145"/>
      <c r="OAX69" s="143"/>
      <c r="OAY69" s="145"/>
      <c r="OAZ69" s="146"/>
      <c r="OBA69" s="147"/>
      <c r="OBB69"/>
      <c r="OBC69" s="148"/>
      <c r="OBD69"/>
      <c r="OBE69" s="140"/>
      <c r="OBF69" s="149"/>
      <c r="OBG69"/>
      <c r="OBH69" s="142"/>
      <c r="OBI69" s="143"/>
      <c r="OBJ69" s="144"/>
      <c r="OBK69" s="144"/>
      <c r="OBL69" s="143"/>
      <c r="OBM69" s="145"/>
      <c r="OBN69" s="143"/>
      <c r="OBO69" s="145"/>
      <c r="OBP69" s="146"/>
      <c r="OBQ69" s="147"/>
      <c r="OBR69"/>
      <c r="OBS69" s="148"/>
      <c r="OBT69"/>
      <c r="OBU69" s="140"/>
      <c r="OBV69" s="149"/>
      <c r="OBW69"/>
      <c r="OBX69" s="142"/>
      <c r="OBY69" s="143"/>
      <c r="OBZ69" s="144"/>
      <c r="OCA69" s="144"/>
      <c r="OCB69" s="143"/>
      <c r="OCC69" s="145"/>
      <c r="OCD69" s="143"/>
      <c r="OCE69" s="145"/>
      <c r="OCF69" s="146"/>
      <c r="OCG69" s="147"/>
      <c r="OCH69"/>
      <c r="OCI69" s="148"/>
      <c r="OCJ69"/>
      <c r="OCK69" s="140"/>
      <c r="OCL69" s="149"/>
      <c r="OCM69"/>
      <c r="OCN69" s="142"/>
      <c r="OCO69" s="143"/>
      <c r="OCP69" s="144"/>
      <c r="OCQ69" s="144"/>
      <c r="OCR69" s="143"/>
      <c r="OCS69" s="145"/>
      <c r="OCT69" s="143"/>
      <c r="OCU69" s="145"/>
      <c r="OCV69" s="146"/>
      <c r="OCW69" s="147"/>
      <c r="OCX69"/>
      <c r="OCY69" s="148"/>
      <c r="OCZ69"/>
      <c r="ODA69" s="140"/>
      <c r="ODB69" s="149"/>
      <c r="ODC69"/>
      <c r="ODD69" s="142"/>
      <c r="ODE69" s="143"/>
      <c r="ODF69" s="144"/>
      <c r="ODG69" s="144"/>
      <c r="ODH69" s="143"/>
      <c r="ODI69" s="145"/>
      <c r="ODJ69" s="143"/>
      <c r="ODK69" s="145"/>
      <c r="ODL69" s="146"/>
      <c r="ODM69" s="147"/>
      <c r="ODN69"/>
      <c r="ODO69" s="148"/>
      <c r="ODP69"/>
      <c r="ODQ69" s="140"/>
      <c r="ODR69" s="149"/>
      <c r="ODS69"/>
      <c r="ODT69" s="142"/>
      <c r="ODU69" s="143"/>
      <c r="ODV69" s="144"/>
      <c r="ODW69" s="144"/>
      <c r="ODX69" s="143"/>
      <c r="ODY69" s="145"/>
      <c r="ODZ69" s="143"/>
      <c r="OEA69" s="145"/>
      <c r="OEB69" s="146"/>
      <c r="OEC69" s="147"/>
      <c r="OED69"/>
      <c r="OEE69" s="148"/>
      <c r="OEF69"/>
      <c r="OEG69" s="140"/>
      <c r="OEH69" s="149"/>
      <c r="OEI69"/>
      <c r="OEJ69" s="142"/>
      <c r="OEK69" s="143"/>
      <c r="OEL69" s="144"/>
      <c r="OEM69" s="144"/>
      <c r="OEN69" s="143"/>
      <c r="OEO69" s="145"/>
      <c r="OEP69" s="143"/>
      <c r="OEQ69" s="145"/>
      <c r="OER69" s="146"/>
      <c r="OES69" s="147"/>
      <c r="OET69"/>
      <c r="OEU69" s="148"/>
      <c r="OEV69"/>
      <c r="OEW69" s="140"/>
      <c r="OEX69" s="149"/>
      <c r="OEY69"/>
      <c r="OEZ69" s="142"/>
      <c r="OFA69" s="143"/>
      <c r="OFB69" s="144"/>
      <c r="OFC69" s="144"/>
      <c r="OFD69" s="143"/>
      <c r="OFE69" s="145"/>
      <c r="OFF69" s="143"/>
      <c r="OFG69" s="145"/>
      <c r="OFH69" s="146"/>
      <c r="OFI69" s="147"/>
      <c r="OFJ69"/>
      <c r="OFK69" s="148"/>
      <c r="OFL69"/>
      <c r="OFM69" s="140"/>
      <c r="OFN69" s="149"/>
      <c r="OFO69"/>
      <c r="OFP69" s="142"/>
      <c r="OFQ69" s="143"/>
      <c r="OFR69" s="144"/>
      <c r="OFS69" s="144"/>
      <c r="OFT69" s="143"/>
      <c r="OFU69" s="145"/>
      <c r="OFV69" s="143"/>
      <c r="OFW69" s="145"/>
      <c r="OFX69" s="146"/>
      <c r="OFY69" s="147"/>
      <c r="OFZ69"/>
      <c r="OGA69" s="148"/>
      <c r="OGB69"/>
      <c r="OGC69" s="140"/>
      <c r="OGD69" s="149"/>
      <c r="OGE69"/>
      <c r="OGF69" s="142"/>
      <c r="OGG69" s="143"/>
      <c r="OGH69" s="144"/>
      <c r="OGI69" s="144"/>
      <c r="OGJ69" s="143"/>
      <c r="OGK69" s="145"/>
      <c r="OGL69" s="143"/>
      <c r="OGM69" s="145"/>
      <c r="OGN69" s="146"/>
      <c r="OGO69" s="147"/>
      <c r="OGP69"/>
      <c r="OGQ69" s="148"/>
      <c r="OGR69"/>
      <c r="OGS69" s="140"/>
      <c r="OGT69" s="149"/>
      <c r="OGU69"/>
      <c r="OGV69" s="142"/>
      <c r="OGW69" s="143"/>
      <c r="OGX69" s="144"/>
      <c r="OGY69" s="144"/>
      <c r="OGZ69" s="143"/>
      <c r="OHA69" s="145"/>
      <c r="OHB69" s="143"/>
      <c r="OHC69" s="145"/>
      <c r="OHD69" s="146"/>
      <c r="OHE69" s="147"/>
      <c r="OHF69"/>
      <c r="OHG69" s="148"/>
      <c r="OHH69"/>
      <c r="OHI69" s="140"/>
      <c r="OHJ69" s="149"/>
      <c r="OHK69"/>
      <c r="OHL69" s="142"/>
      <c r="OHM69" s="143"/>
      <c r="OHN69" s="144"/>
      <c r="OHO69" s="144"/>
      <c r="OHP69" s="143"/>
      <c r="OHQ69" s="145"/>
      <c r="OHR69" s="143"/>
      <c r="OHS69" s="145"/>
      <c r="OHT69" s="146"/>
      <c r="OHU69" s="147"/>
      <c r="OHV69"/>
      <c r="OHW69" s="148"/>
      <c r="OHX69"/>
      <c r="OHY69" s="140"/>
      <c r="OHZ69" s="149"/>
      <c r="OIA69"/>
      <c r="OIB69" s="142"/>
      <c r="OIC69" s="143"/>
      <c r="OID69" s="144"/>
      <c r="OIE69" s="144"/>
      <c r="OIF69" s="143"/>
      <c r="OIG69" s="145"/>
      <c r="OIH69" s="143"/>
      <c r="OII69" s="145"/>
      <c r="OIJ69" s="146"/>
      <c r="OIK69" s="147"/>
      <c r="OIL69"/>
      <c r="OIM69" s="148"/>
      <c r="OIN69"/>
      <c r="OIO69" s="140"/>
      <c r="OIP69" s="149"/>
      <c r="OIQ69"/>
      <c r="OIR69" s="142"/>
      <c r="OIS69" s="143"/>
      <c r="OIT69" s="144"/>
      <c r="OIU69" s="144"/>
      <c r="OIV69" s="143"/>
      <c r="OIW69" s="145"/>
      <c r="OIX69" s="143"/>
      <c r="OIY69" s="145"/>
      <c r="OIZ69" s="146"/>
      <c r="OJA69" s="147"/>
      <c r="OJB69"/>
      <c r="OJC69" s="148"/>
      <c r="OJD69"/>
      <c r="OJE69" s="140"/>
      <c r="OJF69" s="149"/>
      <c r="OJG69"/>
      <c r="OJH69" s="142"/>
      <c r="OJI69" s="143"/>
      <c r="OJJ69" s="144"/>
      <c r="OJK69" s="144"/>
      <c r="OJL69" s="143"/>
      <c r="OJM69" s="145"/>
      <c r="OJN69" s="143"/>
      <c r="OJO69" s="145"/>
      <c r="OJP69" s="146"/>
      <c r="OJQ69" s="147"/>
      <c r="OJR69"/>
      <c r="OJS69" s="148"/>
      <c r="OJT69"/>
      <c r="OJU69" s="140"/>
      <c r="OJV69" s="149"/>
      <c r="OJW69"/>
      <c r="OJX69" s="142"/>
      <c r="OJY69" s="143"/>
      <c r="OJZ69" s="144"/>
      <c r="OKA69" s="144"/>
      <c r="OKB69" s="143"/>
      <c r="OKC69" s="145"/>
      <c r="OKD69" s="143"/>
      <c r="OKE69" s="145"/>
      <c r="OKF69" s="146"/>
      <c r="OKG69" s="147"/>
      <c r="OKH69"/>
      <c r="OKI69" s="148"/>
      <c r="OKJ69"/>
      <c r="OKK69" s="140"/>
      <c r="OKL69" s="149"/>
      <c r="OKM69"/>
      <c r="OKN69" s="142"/>
      <c r="OKO69" s="143"/>
      <c r="OKP69" s="144"/>
      <c r="OKQ69" s="144"/>
      <c r="OKR69" s="143"/>
      <c r="OKS69" s="145"/>
      <c r="OKT69" s="143"/>
      <c r="OKU69" s="145"/>
      <c r="OKV69" s="146"/>
      <c r="OKW69" s="147"/>
      <c r="OKX69"/>
      <c r="OKY69" s="148"/>
      <c r="OKZ69"/>
      <c r="OLA69" s="140"/>
      <c r="OLB69" s="149"/>
      <c r="OLC69"/>
      <c r="OLD69" s="142"/>
      <c r="OLE69" s="143"/>
      <c r="OLF69" s="144"/>
      <c r="OLG69" s="144"/>
      <c r="OLH69" s="143"/>
      <c r="OLI69" s="145"/>
      <c r="OLJ69" s="143"/>
      <c r="OLK69" s="145"/>
      <c r="OLL69" s="146"/>
      <c r="OLM69" s="147"/>
      <c r="OLN69"/>
      <c r="OLO69" s="148"/>
      <c r="OLP69"/>
      <c r="OLQ69" s="140"/>
      <c r="OLR69" s="149"/>
      <c r="OLS69"/>
      <c r="OLT69" s="142"/>
      <c r="OLU69" s="143"/>
      <c r="OLV69" s="144"/>
      <c r="OLW69" s="144"/>
      <c r="OLX69" s="143"/>
      <c r="OLY69" s="145"/>
      <c r="OLZ69" s="143"/>
      <c r="OMA69" s="145"/>
      <c r="OMB69" s="146"/>
      <c r="OMC69" s="147"/>
      <c r="OMD69"/>
      <c r="OME69" s="148"/>
      <c r="OMF69"/>
      <c r="OMG69" s="140"/>
      <c r="OMH69" s="149"/>
      <c r="OMI69"/>
      <c r="OMJ69" s="142"/>
      <c r="OMK69" s="143"/>
      <c r="OML69" s="144"/>
      <c r="OMM69" s="144"/>
      <c r="OMN69" s="143"/>
      <c r="OMO69" s="145"/>
      <c r="OMP69" s="143"/>
      <c r="OMQ69" s="145"/>
      <c r="OMR69" s="146"/>
      <c r="OMS69" s="147"/>
      <c r="OMT69"/>
      <c r="OMU69" s="148"/>
      <c r="OMV69"/>
      <c r="OMW69" s="140"/>
      <c r="OMX69" s="149"/>
      <c r="OMY69"/>
      <c r="OMZ69" s="142"/>
      <c r="ONA69" s="143"/>
      <c r="ONB69" s="144"/>
      <c r="ONC69" s="144"/>
      <c r="OND69" s="143"/>
      <c r="ONE69" s="145"/>
      <c r="ONF69" s="143"/>
      <c r="ONG69" s="145"/>
      <c r="ONH69" s="146"/>
      <c r="ONI69" s="147"/>
      <c r="ONJ69"/>
      <c r="ONK69" s="148"/>
      <c r="ONL69"/>
      <c r="ONM69" s="140"/>
      <c r="ONN69" s="149"/>
      <c r="ONO69"/>
      <c r="ONP69" s="142"/>
      <c r="ONQ69" s="143"/>
      <c r="ONR69" s="144"/>
      <c r="ONS69" s="144"/>
      <c r="ONT69" s="143"/>
      <c r="ONU69" s="145"/>
      <c r="ONV69" s="143"/>
      <c r="ONW69" s="145"/>
      <c r="ONX69" s="146"/>
      <c r="ONY69" s="147"/>
      <c r="ONZ69"/>
      <c r="OOA69" s="148"/>
      <c r="OOB69"/>
      <c r="OOC69" s="140"/>
      <c r="OOD69" s="149"/>
      <c r="OOE69"/>
      <c r="OOF69" s="142"/>
      <c r="OOG69" s="143"/>
      <c r="OOH69" s="144"/>
      <c r="OOI69" s="144"/>
      <c r="OOJ69" s="143"/>
      <c r="OOK69" s="145"/>
      <c r="OOL69" s="143"/>
      <c r="OOM69" s="145"/>
      <c r="OON69" s="146"/>
      <c r="OOO69" s="147"/>
      <c r="OOP69"/>
      <c r="OOQ69" s="148"/>
      <c r="OOR69"/>
      <c r="OOS69" s="140"/>
      <c r="OOT69" s="149"/>
      <c r="OOU69"/>
      <c r="OOV69" s="142"/>
      <c r="OOW69" s="143"/>
      <c r="OOX69" s="144"/>
      <c r="OOY69" s="144"/>
      <c r="OOZ69" s="143"/>
      <c r="OPA69" s="145"/>
      <c r="OPB69" s="143"/>
      <c r="OPC69" s="145"/>
      <c r="OPD69" s="146"/>
      <c r="OPE69" s="147"/>
      <c r="OPF69"/>
      <c r="OPG69" s="148"/>
      <c r="OPH69"/>
      <c r="OPI69" s="140"/>
      <c r="OPJ69" s="149"/>
      <c r="OPK69"/>
      <c r="OPL69" s="142"/>
      <c r="OPM69" s="143"/>
      <c r="OPN69" s="144"/>
      <c r="OPO69" s="144"/>
      <c r="OPP69" s="143"/>
      <c r="OPQ69" s="145"/>
      <c r="OPR69" s="143"/>
      <c r="OPS69" s="145"/>
      <c r="OPT69" s="146"/>
      <c r="OPU69" s="147"/>
      <c r="OPV69"/>
      <c r="OPW69" s="148"/>
      <c r="OPX69"/>
      <c r="OPY69" s="140"/>
      <c r="OPZ69" s="149"/>
      <c r="OQA69"/>
      <c r="OQB69" s="142"/>
      <c r="OQC69" s="143"/>
      <c r="OQD69" s="144"/>
      <c r="OQE69" s="144"/>
      <c r="OQF69" s="143"/>
      <c r="OQG69" s="145"/>
      <c r="OQH69" s="143"/>
      <c r="OQI69" s="145"/>
      <c r="OQJ69" s="146"/>
      <c r="OQK69" s="147"/>
      <c r="OQL69"/>
      <c r="OQM69" s="148"/>
      <c r="OQN69"/>
      <c r="OQO69" s="140"/>
      <c r="OQP69" s="149"/>
      <c r="OQQ69"/>
      <c r="OQR69" s="142"/>
      <c r="OQS69" s="143"/>
      <c r="OQT69" s="144"/>
      <c r="OQU69" s="144"/>
      <c r="OQV69" s="143"/>
      <c r="OQW69" s="145"/>
      <c r="OQX69" s="143"/>
      <c r="OQY69" s="145"/>
      <c r="OQZ69" s="146"/>
      <c r="ORA69" s="147"/>
      <c r="ORB69"/>
      <c r="ORC69" s="148"/>
      <c r="ORD69"/>
      <c r="ORE69" s="140"/>
      <c r="ORF69" s="149"/>
      <c r="ORG69"/>
      <c r="ORH69" s="142"/>
      <c r="ORI69" s="143"/>
      <c r="ORJ69" s="144"/>
      <c r="ORK69" s="144"/>
      <c r="ORL69" s="143"/>
      <c r="ORM69" s="145"/>
      <c r="ORN69" s="143"/>
      <c r="ORO69" s="145"/>
      <c r="ORP69" s="146"/>
      <c r="ORQ69" s="147"/>
      <c r="ORR69"/>
      <c r="ORS69" s="148"/>
      <c r="ORT69"/>
      <c r="ORU69" s="140"/>
      <c r="ORV69" s="149"/>
      <c r="ORW69"/>
      <c r="ORX69" s="142"/>
      <c r="ORY69" s="143"/>
      <c r="ORZ69" s="144"/>
      <c r="OSA69" s="144"/>
      <c r="OSB69" s="143"/>
      <c r="OSC69" s="145"/>
      <c r="OSD69" s="143"/>
      <c r="OSE69" s="145"/>
      <c r="OSF69" s="146"/>
      <c r="OSG69" s="147"/>
      <c r="OSH69"/>
      <c r="OSI69" s="148"/>
      <c r="OSJ69"/>
      <c r="OSK69" s="140"/>
      <c r="OSL69" s="149"/>
      <c r="OSM69"/>
      <c r="OSN69" s="142"/>
      <c r="OSO69" s="143"/>
      <c r="OSP69" s="144"/>
      <c r="OSQ69" s="144"/>
      <c r="OSR69" s="143"/>
      <c r="OSS69" s="145"/>
      <c r="OST69" s="143"/>
      <c r="OSU69" s="145"/>
      <c r="OSV69" s="146"/>
      <c r="OSW69" s="147"/>
      <c r="OSX69"/>
      <c r="OSY69" s="148"/>
      <c r="OSZ69"/>
      <c r="OTA69" s="140"/>
      <c r="OTB69" s="149"/>
      <c r="OTC69"/>
      <c r="OTD69" s="142"/>
      <c r="OTE69" s="143"/>
      <c r="OTF69" s="144"/>
      <c r="OTG69" s="144"/>
      <c r="OTH69" s="143"/>
      <c r="OTI69" s="145"/>
      <c r="OTJ69" s="143"/>
      <c r="OTK69" s="145"/>
      <c r="OTL69" s="146"/>
      <c r="OTM69" s="147"/>
      <c r="OTN69"/>
      <c r="OTO69" s="148"/>
      <c r="OTP69"/>
      <c r="OTQ69" s="140"/>
      <c r="OTR69" s="149"/>
      <c r="OTS69"/>
      <c r="OTT69" s="142"/>
      <c r="OTU69" s="143"/>
      <c r="OTV69" s="144"/>
      <c r="OTW69" s="144"/>
      <c r="OTX69" s="143"/>
      <c r="OTY69" s="145"/>
      <c r="OTZ69" s="143"/>
      <c r="OUA69" s="145"/>
      <c r="OUB69" s="146"/>
      <c r="OUC69" s="147"/>
      <c r="OUD69"/>
      <c r="OUE69" s="148"/>
      <c r="OUF69"/>
      <c r="OUG69" s="140"/>
      <c r="OUH69" s="149"/>
      <c r="OUI69"/>
      <c r="OUJ69" s="142"/>
      <c r="OUK69" s="143"/>
      <c r="OUL69" s="144"/>
      <c r="OUM69" s="144"/>
      <c r="OUN69" s="143"/>
      <c r="OUO69" s="145"/>
      <c r="OUP69" s="143"/>
      <c r="OUQ69" s="145"/>
      <c r="OUR69" s="146"/>
      <c r="OUS69" s="147"/>
      <c r="OUT69"/>
      <c r="OUU69" s="148"/>
      <c r="OUV69"/>
      <c r="OUW69" s="140"/>
      <c r="OUX69" s="149"/>
      <c r="OUY69"/>
      <c r="OUZ69" s="142"/>
      <c r="OVA69" s="143"/>
      <c r="OVB69" s="144"/>
      <c r="OVC69" s="144"/>
      <c r="OVD69" s="143"/>
      <c r="OVE69" s="145"/>
      <c r="OVF69" s="143"/>
      <c r="OVG69" s="145"/>
      <c r="OVH69" s="146"/>
      <c r="OVI69" s="147"/>
      <c r="OVJ69"/>
      <c r="OVK69" s="148"/>
      <c r="OVL69"/>
      <c r="OVM69" s="140"/>
      <c r="OVN69" s="149"/>
      <c r="OVO69"/>
      <c r="OVP69" s="142"/>
      <c r="OVQ69" s="143"/>
      <c r="OVR69" s="144"/>
      <c r="OVS69" s="144"/>
      <c r="OVT69" s="143"/>
      <c r="OVU69" s="145"/>
      <c r="OVV69" s="143"/>
      <c r="OVW69" s="145"/>
      <c r="OVX69" s="146"/>
      <c r="OVY69" s="147"/>
      <c r="OVZ69"/>
      <c r="OWA69" s="148"/>
      <c r="OWB69"/>
      <c r="OWC69" s="140"/>
      <c r="OWD69" s="149"/>
      <c r="OWE69"/>
      <c r="OWF69" s="142"/>
      <c r="OWG69" s="143"/>
      <c r="OWH69" s="144"/>
      <c r="OWI69" s="144"/>
      <c r="OWJ69" s="143"/>
      <c r="OWK69" s="145"/>
      <c r="OWL69" s="143"/>
      <c r="OWM69" s="145"/>
      <c r="OWN69" s="146"/>
      <c r="OWO69" s="147"/>
      <c r="OWP69"/>
      <c r="OWQ69" s="148"/>
      <c r="OWR69"/>
      <c r="OWS69" s="140"/>
      <c r="OWT69" s="149"/>
      <c r="OWU69"/>
      <c r="OWV69" s="142"/>
      <c r="OWW69" s="143"/>
      <c r="OWX69" s="144"/>
      <c r="OWY69" s="144"/>
      <c r="OWZ69" s="143"/>
      <c r="OXA69" s="145"/>
      <c r="OXB69" s="143"/>
      <c r="OXC69" s="145"/>
      <c r="OXD69" s="146"/>
      <c r="OXE69" s="147"/>
      <c r="OXF69"/>
      <c r="OXG69" s="148"/>
      <c r="OXH69"/>
      <c r="OXI69" s="140"/>
      <c r="OXJ69" s="149"/>
      <c r="OXK69"/>
      <c r="OXL69" s="142"/>
      <c r="OXM69" s="143"/>
      <c r="OXN69" s="144"/>
      <c r="OXO69" s="144"/>
      <c r="OXP69" s="143"/>
      <c r="OXQ69" s="145"/>
      <c r="OXR69" s="143"/>
      <c r="OXS69" s="145"/>
      <c r="OXT69" s="146"/>
      <c r="OXU69" s="147"/>
      <c r="OXV69"/>
      <c r="OXW69" s="148"/>
      <c r="OXX69"/>
      <c r="OXY69" s="140"/>
      <c r="OXZ69" s="149"/>
      <c r="OYA69"/>
      <c r="OYB69" s="142"/>
      <c r="OYC69" s="143"/>
      <c r="OYD69" s="144"/>
      <c r="OYE69" s="144"/>
      <c r="OYF69" s="143"/>
      <c r="OYG69" s="145"/>
      <c r="OYH69" s="143"/>
      <c r="OYI69" s="145"/>
      <c r="OYJ69" s="146"/>
      <c r="OYK69" s="147"/>
      <c r="OYL69"/>
      <c r="OYM69" s="148"/>
      <c r="OYN69"/>
      <c r="OYO69" s="140"/>
      <c r="OYP69" s="149"/>
      <c r="OYQ69"/>
      <c r="OYR69" s="142"/>
      <c r="OYS69" s="143"/>
      <c r="OYT69" s="144"/>
      <c r="OYU69" s="144"/>
      <c r="OYV69" s="143"/>
      <c r="OYW69" s="145"/>
      <c r="OYX69" s="143"/>
      <c r="OYY69" s="145"/>
      <c r="OYZ69" s="146"/>
      <c r="OZA69" s="147"/>
      <c r="OZB69"/>
      <c r="OZC69" s="148"/>
      <c r="OZD69"/>
      <c r="OZE69" s="140"/>
      <c r="OZF69" s="149"/>
      <c r="OZG69"/>
      <c r="OZH69" s="142"/>
      <c r="OZI69" s="143"/>
      <c r="OZJ69" s="144"/>
      <c r="OZK69" s="144"/>
      <c r="OZL69" s="143"/>
      <c r="OZM69" s="145"/>
      <c r="OZN69" s="143"/>
      <c r="OZO69" s="145"/>
      <c r="OZP69" s="146"/>
      <c r="OZQ69" s="147"/>
      <c r="OZR69"/>
      <c r="OZS69" s="148"/>
      <c r="OZT69"/>
      <c r="OZU69" s="140"/>
      <c r="OZV69" s="149"/>
      <c r="OZW69"/>
      <c r="OZX69" s="142"/>
      <c r="OZY69" s="143"/>
      <c r="OZZ69" s="144"/>
      <c r="PAA69" s="144"/>
      <c r="PAB69" s="143"/>
      <c r="PAC69" s="145"/>
      <c r="PAD69" s="143"/>
      <c r="PAE69" s="145"/>
      <c r="PAF69" s="146"/>
      <c r="PAG69" s="147"/>
      <c r="PAH69"/>
      <c r="PAI69" s="148"/>
      <c r="PAJ69"/>
      <c r="PAK69" s="140"/>
      <c r="PAL69" s="149"/>
      <c r="PAM69"/>
      <c r="PAN69" s="142"/>
      <c r="PAO69" s="143"/>
      <c r="PAP69" s="144"/>
      <c r="PAQ69" s="144"/>
      <c r="PAR69" s="143"/>
      <c r="PAS69" s="145"/>
      <c r="PAT69" s="143"/>
      <c r="PAU69" s="145"/>
      <c r="PAV69" s="146"/>
      <c r="PAW69" s="147"/>
      <c r="PAX69"/>
      <c r="PAY69" s="148"/>
      <c r="PAZ69"/>
      <c r="PBA69" s="140"/>
      <c r="PBB69" s="149"/>
      <c r="PBC69"/>
      <c r="PBD69" s="142"/>
      <c r="PBE69" s="143"/>
      <c r="PBF69" s="144"/>
      <c r="PBG69" s="144"/>
      <c r="PBH69" s="143"/>
      <c r="PBI69" s="145"/>
      <c r="PBJ69" s="143"/>
      <c r="PBK69" s="145"/>
      <c r="PBL69" s="146"/>
      <c r="PBM69" s="147"/>
      <c r="PBN69"/>
      <c r="PBO69" s="148"/>
      <c r="PBP69"/>
      <c r="PBQ69" s="140"/>
      <c r="PBR69" s="149"/>
      <c r="PBS69"/>
      <c r="PBT69" s="142"/>
      <c r="PBU69" s="143"/>
      <c r="PBV69" s="144"/>
      <c r="PBW69" s="144"/>
      <c r="PBX69" s="143"/>
      <c r="PBY69" s="145"/>
      <c r="PBZ69" s="143"/>
      <c r="PCA69" s="145"/>
      <c r="PCB69" s="146"/>
      <c r="PCC69" s="147"/>
      <c r="PCD69"/>
      <c r="PCE69" s="148"/>
      <c r="PCF69"/>
      <c r="PCG69" s="140"/>
      <c r="PCH69" s="149"/>
      <c r="PCI69"/>
      <c r="PCJ69" s="142"/>
      <c r="PCK69" s="143"/>
      <c r="PCL69" s="144"/>
      <c r="PCM69" s="144"/>
      <c r="PCN69" s="143"/>
      <c r="PCO69" s="145"/>
      <c r="PCP69" s="143"/>
      <c r="PCQ69" s="145"/>
      <c r="PCR69" s="146"/>
      <c r="PCS69" s="147"/>
      <c r="PCT69"/>
      <c r="PCU69" s="148"/>
      <c r="PCV69"/>
      <c r="PCW69" s="140"/>
      <c r="PCX69" s="149"/>
      <c r="PCY69"/>
      <c r="PCZ69" s="142"/>
      <c r="PDA69" s="143"/>
      <c r="PDB69" s="144"/>
      <c r="PDC69" s="144"/>
      <c r="PDD69" s="143"/>
      <c r="PDE69" s="145"/>
      <c r="PDF69" s="143"/>
      <c r="PDG69" s="145"/>
      <c r="PDH69" s="146"/>
      <c r="PDI69" s="147"/>
      <c r="PDJ69"/>
      <c r="PDK69" s="148"/>
      <c r="PDL69"/>
      <c r="PDM69" s="140"/>
      <c r="PDN69" s="149"/>
      <c r="PDO69"/>
      <c r="PDP69" s="142"/>
      <c r="PDQ69" s="143"/>
      <c r="PDR69" s="144"/>
      <c r="PDS69" s="144"/>
      <c r="PDT69" s="143"/>
      <c r="PDU69" s="145"/>
      <c r="PDV69" s="143"/>
      <c r="PDW69" s="145"/>
      <c r="PDX69" s="146"/>
      <c r="PDY69" s="147"/>
      <c r="PDZ69"/>
      <c r="PEA69" s="148"/>
      <c r="PEB69"/>
      <c r="PEC69" s="140"/>
      <c r="PED69" s="149"/>
      <c r="PEE69"/>
      <c r="PEF69" s="142"/>
      <c r="PEG69" s="143"/>
      <c r="PEH69" s="144"/>
      <c r="PEI69" s="144"/>
      <c r="PEJ69" s="143"/>
      <c r="PEK69" s="145"/>
      <c r="PEL69" s="143"/>
      <c r="PEM69" s="145"/>
      <c r="PEN69" s="146"/>
      <c r="PEO69" s="147"/>
      <c r="PEP69"/>
      <c r="PEQ69" s="148"/>
      <c r="PER69"/>
      <c r="PES69" s="140"/>
      <c r="PET69" s="149"/>
      <c r="PEU69"/>
      <c r="PEV69" s="142"/>
      <c r="PEW69" s="143"/>
      <c r="PEX69" s="144"/>
      <c r="PEY69" s="144"/>
      <c r="PEZ69" s="143"/>
      <c r="PFA69" s="145"/>
      <c r="PFB69" s="143"/>
      <c r="PFC69" s="145"/>
      <c r="PFD69" s="146"/>
      <c r="PFE69" s="147"/>
      <c r="PFF69"/>
      <c r="PFG69" s="148"/>
      <c r="PFH69"/>
      <c r="PFI69" s="140"/>
      <c r="PFJ69" s="149"/>
      <c r="PFK69"/>
      <c r="PFL69" s="142"/>
      <c r="PFM69" s="143"/>
      <c r="PFN69" s="144"/>
      <c r="PFO69" s="144"/>
      <c r="PFP69" s="143"/>
      <c r="PFQ69" s="145"/>
      <c r="PFR69" s="143"/>
      <c r="PFS69" s="145"/>
      <c r="PFT69" s="146"/>
      <c r="PFU69" s="147"/>
      <c r="PFV69"/>
      <c r="PFW69" s="148"/>
      <c r="PFX69"/>
      <c r="PFY69" s="140"/>
      <c r="PFZ69" s="149"/>
      <c r="PGA69"/>
      <c r="PGB69" s="142"/>
      <c r="PGC69" s="143"/>
      <c r="PGD69" s="144"/>
      <c r="PGE69" s="144"/>
      <c r="PGF69" s="143"/>
      <c r="PGG69" s="145"/>
      <c r="PGH69" s="143"/>
      <c r="PGI69" s="145"/>
      <c r="PGJ69" s="146"/>
      <c r="PGK69" s="147"/>
      <c r="PGL69"/>
      <c r="PGM69" s="148"/>
      <c r="PGN69"/>
      <c r="PGO69" s="140"/>
      <c r="PGP69" s="149"/>
      <c r="PGQ69"/>
      <c r="PGR69" s="142"/>
      <c r="PGS69" s="143"/>
      <c r="PGT69" s="144"/>
      <c r="PGU69" s="144"/>
      <c r="PGV69" s="143"/>
      <c r="PGW69" s="145"/>
      <c r="PGX69" s="143"/>
      <c r="PGY69" s="145"/>
      <c r="PGZ69" s="146"/>
      <c r="PHA69" s="147"/>
      <c r="PHB69"/>
      <c r="PHC69" s="148"/>
      <c r="PHD69"/>
      <c r="PHE69" s="140"/>
      <c r="PHF69" s="149"/>
      <c r="PHG69"/>
      <c r="PHH69" s="142"/>
      <c r="PHI69" s="143"/>
      <c r="PHJ69" s="144"/>
      <c r="PHK69" s="144"/>
      <c r="PHL69" s="143"/>
      <c r="PHM69" s="145"/>
      <c r="PHN69" s="143"/>
      <c r="PHO69" s="145"/>
      <c r="PHP69" s="146"/>
      <c r="PHQ69" s="147"/>
      <c r="PHR69"/>
      <c r="PHS69" s="148"/>
      <c r="PHT69"/>
      <c r="PHU69" s="140"/>
      <c r="PHV69" s="149"/>
      <c r="PHW69"/>
      <c r="PHX69" s="142"/>
      <c r="PHY69" s="143"/>
      <c r="PHZ69" s="144"/>
      <c r="PIA69" s="144"/>
      <c r="PIB69" s="143"/>
      <c r="PIC69" s="145"/>
      <c r="PID69" s="143"/>
      <c r="PIE69" s="145"/>
      <c r="PIF69" s="146"/>
      <c r="PIG69" s="147"/>
      <c r="PIH69"/>
      <c r="PII69" s="148"/>
      <c r="PIJ69"/>
      <c r="PIK69" s="140"/>
      <c r="PIL69" s="149"/>
      <c r="PIM69"/>
      <c r="PIN69" s="142"/>
      <c r="PIO69" s="143"/>
      <c r="PIP69" s="144"/>
      <c r="PIQ69" s="144"/>
      <c r="PIR69" s="143"/>
      <c r="PIS69" s="145"/>
      <c r="PIT69" s="143"/>
      <c r="PIU69" s="145"/>
      <c r="PIV69" s="146"/>
      <c r="PIW69" s="147"/>
      <c r="PIX69"/>
      <c r="PIY69" s="148"/>
      <c r="PIZ69"/>
      <c r="PJA69" s="140"/>
      <c r="PJB69" s="149"/>
      <c r="PJC69"/>
      <c r="PJD69" s="142"/>
      <c r="PJE69" s="143"/>
      <c r="PJF69" s="144"/>
      <c r="PJG69" s="144"/>
      <c r="PJH69" s="143"/>
      <c r="PJI69" s="145"/>
      <c r="PJJ69" s="143"/>
      <c r="PJK69" s="145"/>
      <c r="PJL69" s="146"/>
      <c r="PJM69" s="147"/>
      <c r="PJN69"/>
      <c r="PJO69" s="148"/>
      <c r="PJP69"/>
      <c r="PJQ69" s="140"/>
      <c r="PJR69" s="149"/>
      <c r="PJS69"/>
      <c r="PJT69" s="142"/>
      <c r="PJU69" s="143"/>
      <c r="PJV69" s="144"/>
      <c r="PJW69" s="144"/>
      <c r="PJX69" s="143"/>
      <c r="PJY69" s="145"/>
      <c r="PJZ69" s="143"/>
      <c r="PKA69" s="145"/>
      <c r="PKB69" s="146"/>
      <c r="PKC69" s="147"/>
      <c r="PKD69"/>
      <c r="PKE69" s="148"/>
      <c r="PKF69"/>
      <c r="PKG69" s="140"/>
      <c r="PKH69" s="149"/>
      <c r="PKI69"/>
      <c r="PKJ69" s="142"/>
      <c r="PKK69" s="143"/>
      <c r="PKL69" s="144"/>
      <c r="PKM69" s="144"/>
      <c r="PKN69" s="143"/>
      <c r="PKO69" s="145"/>
      <c r="PKP69" s="143"/>
      <c r="PKQ69" s="145"/>
      <c r="PKR69" s="146"/>
      <c r="PKS69" s="147"/>
      <c r="PKT69"/>
      <c r="PKU69" s="148"/>
      <c r="PKV69"/>
      <c r="PKW69" s="140"/>
      <c r="PKX69" s="149"/>
      <c r="PKY69"/>
      <c r="PKZ69" s="142"/>
      <c r="PLA69" s="143"/>
      <c r="PLB69" s="144"/>
      <c r="PLC69" s="144"/>
      <c r="PLD69" s="143"/>
      <c r="PLE69" s="145"/>
      <c r="PLF69" s="143"/>
      <c r="PLG69" s="145"/>
      <c r="PLH69" s="146"/>
      <c r="PLI69" s="147"/>
      <c r="PLJ69"/>
      <c r="PLK69" s="148"/>
      <c r="PLL69"/>
      <c r="PLM69" s="140"/>
      <c r="PLN69" s="149"/>
      <c r="PLO69"/>
      <c r="PLP69" s="142"/>
      <c r="PLQ69" s="143"/>
      <c r="PLR69" s="144"/>
      <c r="PLS69" s="144"/>
      <c r="PLT69" s="143"/>
      <c r="PLU69" s="145"/>
      <c r="PLV69" s="143"/>
      <c r="PLW69" s="145"/>
      <c r="PLX69" s="146"/>
      <c r="PLY69" s="147"/>
      <c r="PLZ69"/>
      <c r="PMA69" s="148"/>
      <c r="PMB69"/>
      <c r="PMC69" s="140"/>
      <c r="PMD69" s="149"/>
      <c r="PME69"/>
      <c r="PMF69" s="142"/>
      <c r="PMG69" s="143"/>
      <c r="PMH69" s="144"/>
      <c r="PMI69" s="144"/>
      <c r="PMJ69" s="143"/>
      <c r="PMK69" s="145"/>
      <c r="PML69" s="143"/>
      <c r="PMM69" s="145"/>
      <c r="PMN69" s="146"/>
      <c r="PMO69" s="147"/>
      <c r="PMP69"/>
      <c r="PMQ69" s="148"/>
      <c r="PMR69"/>
      <c r="PMS69" s="140"/>
      <c r="PMT69" s="149"/>
      <c r="PMU69"/>
      <c r="PMV69" s="142"/>
      <c r="PMW69" s="143"/>
      <c r="PMX69" s="144"/>
      <c r="PMY69" s="144"/>
      <c r="PMZ69" s="143"/>
      <c r="PNA69" s="145"/>
      <c r="PNB69" s="143"/>
      <c r="PNC69" s="145"/>
      <c r="PND69" s="146"/>
      <c r="PNE69" s="147"/>
      <c r="PNF69"/>
      <c r="PNG69" s="148"/>
      <c r="PNH69"/>
      <c r="PNI69" s="140"/>
      <c r="PNJ69" s="149"/>
      <c r="PNK69"/>
      <c r="PNL69" s="142"/>
      <c r="PNM69" s="143"/>
      <c r="PNN69" s="144"/>
      <c r="PNO69" s="144"/>
      <c r="PNP69" s="143"/>
      <c r="PNQ69" s="145"/>
      <c r="PNR69" s="143"/>
      <c r="PNS69" s="145"/>
      <c r="PNT69" s="146"/>
      <c r="PNU69" s="147"/>
      <c r="PNV69"/>
      <c r="PNW69" s="148"/>
      <c r="PNX69"/>
      <c r="PNY69" s="140"/>
      <c r="PNZ69" s="149"/>
      <c r="POA69"/>
      <c r="POB69" s="142"/>
      <c r="POC69" s="143"/>
      <c r="POD69" s="144"/>
      <c r="POE69" s="144"/>
      <c r="POF69" s="143"/>
      <c r="POG69" s="145"/>
      <c r="POH69" s="143"/>
      <c r="POI69" s="145"/>
      <c r="POJ69" s="146"/>
      <c r="POK69" s="147"/>
      <c r="POL69"/>
      <c r="POM69" s="148"/>
      <c r="PON69"/>
      <c r="POO69" s="140"/>
      <c r="POP69" s="149"/>
      <c r="POQ69"/>
      <c r="POR69" s="142"/>
      <c r="POS69" s="143"/>
      <c r="POT69" s="144"/>
      <c r="POU69" s="144"/>
      <c r="POV69" s="143"/>
      <c r="POW69" s="145"/>
      <c r="POX69" s="143"/>
      <c r="POY69" s="145"/>
      <c r="POZ69" s="146"/>
      <c r="PPA69" s="147"/>
      <c r="PPB69"/>
      <c r="PPC69" s="148"/>
      <c r="PPD69"/>
      <c r="PPE69" s="140"/>
      <c r="PPF69" s="149"/>
      <c r="PPG69"/>
      <c r="PPH69" s="142"/>
      <c r="PPI69" s="143"/>
      <c r="PPJ69" s="144"/>
      <c r="PPK69" s="144"/>
      <c r="PPL69" s="143"/>
      <c r="PPM69" s="145"/>
      <c r="PPN69" s="143"/>
      <c r="PPO69" s="145"/>
      <c r="PPP69" s="146"/>
      <c r="PPQ69" s="147"/>
      <c r="PPR69"/>
      <c r="PPS69" s="148"/>
      <c r="PPT69"/>
      <c r="PPU69" s="140"/>
      <c r="PPV69" s="149"/>
      <c r="PPW69"/>
      <c r="PPX69" s="142"/>
      <c r="PPY69" s="143"/>
      <c r="PPZ69" s="144"/>
      <c r="PQA69" s="144"/>
      <c r="PQB69" s="143"/>
      <c r="PQC69" s="145"/>
      <c r="PQD69" s="143"/>
      <c r="PQE69" s="145"/>
      <c r="PQF69" s="146"/>
      <c r="PQG69" s="147"/>
      <c r="PQH69"/>
      <c r="PQI69" s="148"/>
      <c r="PQJ69"/>
      <c r="PQK69" s="140"/>
      <c r="PQL69" s="149"/>
      <c r="PQM69"/>
      <c r="PQN69" s="142"/>
      <c r="PQO69" s="143"/>
      <c r="PQP69" s="144"/>
      <c r="PQQ69" s="144"/>
      <c r="PQR69" s="143"/>
      <c r="PQS69" s="145"/>
      <c r="PQT69" s="143"/>
      <c r="PQU69" s="145"/>
      <c r="PQV69" s="146"/>
      <c r="PQW69" s="147"/>
      <c r="PQX69"/>
      <c r="PQY69" s="148"/>
      <c r="PQZ69"/>
      <c r="PRA69" s="140"/>
      <c r="PRB69" s="149"/>
      <c r="PRC69"/>
      <c r="PRD69" s="142"/>
      <c r="PRE69" s="143"/>
      <c r="PRF69" s="144"/>
      <c r="PRG69" s="144"/>
      <c r="PRH69" s="143"/>
      <c r="PRI69" s="145"/>
      <c r="PRJ69" s="143"/>
      <c r="PRK69" s="145"/>
      <c r="PRL69" s="146"/>
      <c r="PRM69" s="147"/>
      <c r="PRN69"/>
      <c r="PRO69" s="148"/>
      <c r="PRP69"/>
      <c r="PRQ69" s="140"/>
      <c r="PRR69" s="149"/>
      <c r="PRS69"/>
      <c r="PRT69" s="142"/>
      <c r="PRU69" s="143"/>
      <c r="PRV69" s="144"/>
      <c r="PRW69" s="144"/>
      <c r="PRX69" s="143"/>
      <c r="PRY69" s="145"/>
      <c r="PRZ69" s="143"/>
      <c r="PSA69" s="145"/>
      <c r="PSB69" s="146"/>
      <c r="PSC69" s="147"/>
      <c r="PSD69"/>
      <c r="PSE69" s="148"/>
      <c r="PSF69"/>
      <c r="PSG69" s="140"/>
      <c r="PSH69" s="149"/>
      <c r="PSI69"/>
      <c r="PSJ69" s="142"/>
      <c r="PSK69" s="143"/>
      <c r="PSL69" s="144"/>
      <c r="PSM69" s="144"/>
      <c r="PSN69" s="143"/>
      <c r="PSO69" s="145"/>
      <c r="PSP69" s="143"/>
      <c r="PSQ69" s="145"/>
      <c r="PSR69" s="146"/>
      <c r="PSS69" s="147"/>
      <c r="PST69"/>
      <c r="PSU69" s="148"/>
      <c r="PSV69"/>
      <c r="PSW69" s="140"/>
      <c r="PSX69" s="149"/>
      <c r="PSY69"/>
      <c r="PSZ69" s="142"/>
      <c r="PTA69" s="143"/>
      <c r="PTB69" s="144"/>
      <c r="PTC69" s="144"/>
      <c r="PTD69" s="143"/>
      <c r="PTE69" s="145"/>
      <c r="PTF69" s="143"/>
      <c r="PTG69" s="145"/>
      <c r="PTH69" s="146"/>
      <c r="PTI69" s="147"/>
      <c r="PTJ69"/>
      <c r="PTK69" s="148"/>
      <c r="PTL69"/>
      <c r="PTM69" s="140"/>
      <c r="PTN69" s="149"/>
      <c r="PTO69"/>
      <c r="PTP69" s="142"/>
      <c r="PTQ69" s="143"/>
      <c r="PTR69" s="144"/>
      <c r="PTS69" s="144"/>
      <c r="PTT69" s="143"/>
      <c r="PTU69" s="145"/>
      <c r="PTV69" s="143"/>
      <c r="PTW69" s="145"/>
      <c r="PTX69" s="146"/>
      <c r="PTY69" s="147"/>
      <c r="PTZ69"/>
      <c r="PUA69" s="148"/>
      <c r="PUB69"/>
      <c r="PUC69" s="140"/>
      <c r="PUD69" s="149"/>
      <c r="PUE69"/>
      <c r="PUF69" s="142"/>
      <c r="PUG69" s="143"/>
      <c r="PUH69" s="144"/>
      <c r="PUI69" s="144"/>
      <c r="PUJ69" s="143"/>
      <c r="PUK69" s="145"/>
      <c r="PUL69" s="143"/>
      <c r="PUM69" s="145"/>
      <c r="PUN69" s="146"/>
      <c r="PUO69" s="147"/>
      <c r="PUP69"/>
      <c r="PUQ69" s="148"/>
      <c r="PUR69"/>
      <c r="PUS69" s="140"/>
      <c r="PUT69" s="149"/>
      <c r="PUU69"/>
      <c r="PUV69" s="142"/>
      <c r="PUW69" s="143"/>
      <c r="PUX69" s="144"/>
      <c r="PUY69" s="144"/>
      <c r="PUZ69" s="143"/>
      <c r="PVA69" s="145"/>
      <c r="PVB69" s="143"/>
      <c r="PVC69" s="145"/>
      <c r="PVD69" s="146"/>
      <c r="PVE69" s="147"/>
      <c r="PVF69"/>
      <c r="PVG69" s="148"/>
      <c r="PVH69"/>
      <c r="PVI69" s="140"/>
      <c r="PVJ69" s="149"/>
      <c r="PVK69"/>
      <c r="PVL69" s="142"/>
      <c r="PVM69" s="143"/>
      <c r="PVN69" s="144"/>
      <c r="PVO69" s="144"/>
      <c r="PVP69" s="143"/>
      <c r="PVQ69" s="145"/>
      <c r="PVR69" s="143"/>
      <c r="PVS69" s="145"/>
      <c r="PVT69" s="146"/>
      <c r="PVU69" s="147"/>
      <c r="PVV69"/>
      <c r="PVW69" s="148"/>
      <c r="PVX69"/>
      <c r="PVY69" s="140"/>
      <c r="PVZ69" s="149"/>
      <c r="PWA69"/>
      <c r="PWB69" s="142"/>
      <c r="PWC69" s="143"/>
      <c r="PWD69" s="144"/>
      <c r="PWE69" s="144"/>
      <c r="PWF69" s="143"/>
      <c r="PWG69" s="145"/>
      <c r="PWH69" s="143"/>
      <c r="PWI69" s="145"/>
      <c r="PWJ69" s="146"/>
      <c r="PWK69" s="147"/>
      <c r="PWL69"/>
      <c r="PWM69" s="148"/>
      <c r="PWN69"/>
      <c r="PWO69" s="140"/>
      <c r="PWP69" s="149"/>
      <c r="PWQ69"/>
      <c r="PWR69" s="142"/>
      <c r="PWS69" s="143"/>
      <c r="PWT69" s="144"/>
      <c r="PWU69" s="144"/>
      <c r="PWV69" s="143"/>
      <c r="PWW69" s="145"/>
      <c r="PWX69" s="143"/>
      <c r="PWY69" s="145"/>
      <c r="PWZ69" s="146"/>
      <c r="PXA69" s="147"/>
      <c r="PXB69"/>
      <c r="PXC69" s="148"/>
      <c r="PXD69"/>
      <c r="PXE69" s="140"/>
      <c r="PXF69" s="149"/>
      <c r="PXG69"/>
      <c r="PXH69" s="142"/>
      <c r="PXI69" s="143"/>
      <c r="PXJ69" s="144"/>
      <c r="PXK69" s="144"/>
      <c r="PXL69" s="143"/>
      <c r="PXM69" s="145"/>
      <c r="PXN69" s="143"/>
      <c r="PXO69" s="145"/>
      <c r="PXP69" s="146"/>
      <c r="PXQ69" s="147"/>
      <c r="PXR69"/>
      <c r="PXS69" s="148"/>
      <c r="PXT69"/>
      <c r="PXU69" s="140"/>
      <c r="PXV69" s="149"/>
      <c r="PXW69"/>
      <c r="PXX69" s="142"/>
      <c r="PXY69" s="143"/>
      <c r="PXZ69" s="144"/>
      <c r="PYA69" s="144"/>
      <c r="PYB69" s="143"/>
      <c r="PYC69" s="145"/>
      <c r="PYD69" s="143"/>
      <c r="PYE69" s="145"/>
      <c r="PYF69" s="146"/>
      <c r="PYG69" s="147"/>
      <c r="PYH69"/>
      <c r="PYI69" s="148"/>
      <c r="PYJ69"/>
      <c r="PYK69" s="140"/>
      <c r="PYL69" s="149"/>
      <c r="PYM69"/>
      <c r="PYN69" s="142"/>
      <c r="PYO69" s="143"/>
      <c r="PYP69" s="144"/>
      <c r="PYQ69" s="144"/>
      <c r="PYR69" s="143"/>
      <c r="PYS69" s="145"/>
      <c r="PYT69" s="143"/>
      <c r="PYU69" s="145"/>
      <c r="PYV69" s="146"/>
      <c r="PYW69" s="147"/>
      <c r="PYX69"/>
      <c r="PYY69" s="148"/>
      <c r="PYZ69"/>
      <c r="PZA69" s="140"/>
      <c r="PZB69" s="149"/>
      <c r="PZC69"/>
      <c r="PZD69" s="142"/>
      <c r="PZE69" s="143"/>
      <c r="PZF69" s="144"/>
      <c r="PZG69" s="144"/>
      <c r="PZH69" s="143"/>
      <c r="PZI69" s="145"/>
      <c r="PZJ69" s="143"/>
      <c r="PZK69" s="145"/>
      <c r="PZL69" s="146"/>
      <c r="PZM69" s="147"/>
      <c r="PZN69"/>
      <c r="PZO69" s="148"/>
      <c r="PZP69"/>
      <c r="PZQ69" s="140"/>
      <c r="PZR69" s="149"/>
      <c r="PZS69"/>
      <c r="PZT69" s="142"/>
      <c r="PZU69" s="143"/>
      <c r="PZV69" s="144"/>
      <c r="PZW69" s="144"/>
      <c r="PZX69" s="143"/>
      <c r="PZY69" s="145"/>
      <c r="PZZ69" s="143"/>
      <c r="QAA69" s="145"/>
      <c r="QAB69" s="146"/>
      <c r="QAC69" s="147"/>
      <c r="QAD69"/>
      <c r="QAE69" s="148"/>
      <c r="QAF69"/>
      <c r="QAG69" s="140"/>
      <c r="QAH69" s="149"/>
      <c r="QAI69"/>
      <c r="QAJ69" s="142"/>
      <c r="QAK69" s="143"/>
      <c r="QAL69" s="144"/>
      <c r="QAM69" s="144"/>
      <c r="QAN69" s="143"/>
      <c r="QAO69" s="145"/>
      <c r="QAP69" s="143"/>
      <c r="QAQ69" s="145"/>
      <c r="QAR69" s="146"/>
      <c r="QAS69" s="147"/>
      <c r="QAT69"/>
      <c r="QAU69" s="148"/>
      <c r="QAV69"/>
      <c r="QAW69" s="140"/>
      <c r="QAX69" s="149"/>
      <c r="QAY69"/>
      <c r="QAZ69" s="142"/>
      <c r="QBA69" s="143"/>
      <c r="QBB69" s="144"/>
      <c r="QBC69" s="144"/>
      <c r="QBD69" s="143"/>
      <c r="QBE69" s="145"/>
      <c r="QBF69" s="143"/>
      <c r="QBG69" s="145"/>
      <c r="QBH69" s="146"/>
      <c r="QBI69" s="147"/>
      <c r="QBJ69"/>
      <c r="QBK69" s="148"/>
      <c r="QBL69"/>
      <c r="QBM69" s="140"/>
      <c r="QBN69" s="149"/>
      <c r="QBO69"/>
      <c r="QBP69" s="142"/>
      <c r="QBQ69" s="143"/>
      <c r="QBR69" s="144"/>
      <c r="QBS69" s="144"/>
      <c r="QBT69" s="143"/>
      <c r="QBU69" s="145"/>
      <c r="QBV69" s="143"/>
      <c r="QBW69" s="145"/>
      <c r="QBX69" s="146"/>
      <c r="QBY69" s="147"/>
      <c r="QBZ69"/>
      <c r="QCA69" s="148"/>
      <c r="QCB69"/>
      <c r="QCC69" s="140"/>
      <c r="QCD69" s="149"/>
      <c r="QCE69"/>
      <c r="QCF69" s="142"/>
      <c r="QCG69" s="143"/>
      <c r="QCH69" s="144"/>
      <c r="QCI69" s="144"/>
      <c r="QCJ69" s="143"/>
      <c r="QCK69" s="145"/>
      <c r="QCL69" s="143"/>
      <c r="QCM69" s="145"/>
      <c r="QCN69" s="146"/>
      <c r="QCO69" s="147"/>
      <c r="QCP69"/>
      <c r="QCQ69" s="148"/>
      <c r="QCR69"/>
      <c r="QCS69" s="140"/>
      <c r="QCT69" s="149"/>
      <c r="QCU69"/>
      <c r="QCV69" s="142"/>
      <c r="QCW69" s="143"/>
      <c r="QCX69" s="144"/>
      <c r="QCY69" s="144"/>
      <c r="QCZ69" s="143"/>
      <c r="QDA69" s="145"/>
      <c r="QDB69" s="143"/>
      <c r="QDC69" s="145"/>
      <c r="QDD69" s="146"/>
      <c r="QDE69" s="147"/>
      <c r="QDF69"/>
      <c r="QDG69" s="148"/>
      <c r="QDH69"/>
      <c r="QDI69" s="140"/>
      <c r="QDJ69" s="149"/>
      <c r="QDK69"/>
      <c r="QDL69" s="142"/>
      <c r="QDM69" s="143"/>
      <c r="QDN69" s="144"/>
      <c r="QDO69" s="144"/>
      <c r="QDP69" s="143"/>
      <c r="QDQ69" s="145"/>
      <c r="QDR69" s="143"/>
      <c r="QDS69" s="145"/>
      <c r="QDT69" s="146"/>
      <c r="QDU69" s="147"/>
      <c r="QDV69"/>
      <c r="QDW69" s="148"/>
      <c r="QDX69"/>
      <c r="QDY69" s="140"/>
      <c r="QDZ69" s="149"/>
      <c r="QEA69"/>
      <c r="QEB69" s="142"/>
      <c r="QEC69" s="143"/>
      <c r="QED69" s="144"/>
      <c r="QEE69" s="144"/>
      <c r="QEF69" s="143"/>
      <c r="QEG69" s="145"/>
      <c r="QEH69" s="143"/>
      <c r="QEI69" s="145"/>
      <c r="QEJ69" s="146"/>
      <c r="QEK69" s="147"/>
      <c r="QEL69"/>
      <c r="QEM69" s="148"/>
      <c r="QEN69"/>
      <c r="QEO69" s="140"/>
      <c r="QEP69" s="149"/>
      <c r="QEQ69"/>
      <c r="QER69" s="142"/>
      <c r="QES69" s="143"/>
      <c r="QET69" s="144"/>
      <c r="QEU69" s="144"/>
      <c r="QEV69" s="143"/>
      <c r="QEW69" s="145"/>
      <c r="QEX69" s="143"/>
      <c r="QEY69" s="145"/>
      <c r="QEZ69" s="146"/>
      <c r="QFA69" s="147"/>
      <c r="QFB69"/>
      <c r="QFC69" s="148"/>
      <c r="QFD69"/>
      <c r="QFE69" s="140"/>
      <c r="QFF69" s="149"/>
      <c r="QFG69"/>
      <c r="QFH69" s="142"/>
      <c r="QFI69" s="143"/>
      <c r="QFJ69" s="144"/>
      <c r="QFK69" s="144"/>
      <c r="QFL69" s="143"/>
      <c r="QFM69" s="145"/>
      <c r="QFN69" s="143"/>
      <c r="QFO69" s="145"/>
      <c r="QFP69" s="146"/>
      <c r="QFQ69" s="147"/>
      <c r="QFR69"/>
      <c r="QFS69" s="148"/>
      <c r="QFT69"/>
      <c r="QFU69" s="140"/>
      <c r="QFV69" s="149"/>
      <c r="QFW69"/>
      <c r="QFX69" s="142"/>
      <c r="QFY69" s="143"/>
      <c r="QFZ69" s="144"/>
      <c r="QGA69" s="144"/>
      <c r="QGB69" s="143"/>
      <c r="QGC69" s="145"/>
      <c r="QGD69" s="143"/>
      <c r="QGE69" s="145"/>
      <c r="QGF69" s="146"/>
      <c r="QGG69" s="147"/>
      <c r="QGH69"/>
      <c r="QGI69" s="148"/>
      <c r="QGJ69"/>
      <c r="QGK69" s="140"/>
      <c r="QGL69" s="149"/>
      <c r="QGM69"/>
      <c r="QGN69" s="142"/>
      <c r="QGO69" s="143"/>
      <c r="QGP69" s="144"/>
      <c r="QGQ69" s="144"/>
      <c r="QGR69" s="143"/>
      <c r="QGS69" s="145"/>
      <c r="QGT69" s="143"/>
      <c r="QGU69" s="145"/>
      <c r="QGV69" s="146"/>
      <c r="QGW69" s="147"/>
      <c r="QGX69"/>
      <c r="QGY69" s="148"/>
      <c r="QGZ69"/>
      <c r="QHA69" s="140"/>
      <c r="QHB69" s="149"/>
      <c r="QHC69"/>
      <c r="QHD69" s="142"/>
      <c r="QHE69" s="143"/>
      <c r="QHF69" s="144"/>
      <c r="QHG69" s="144"/>
      <c r="QHH69" s="143"/>
      <c r="QHI69" s="145"/>
      <c r="QHJ69" s="143"/>
      <c r="QHK69" s="145"/>
      <c r="QHL69" s="146"/>
      <c r="QHM69" s="147"/>
      <c r="QHN69"/>
      <c r="QHO69" s="148"/>
      <c r="QHP69"/>
      <c r="QHQ69" s="140"/>
      <c r="QHR69" s="149"/>
      <c r="QHS69"/>
      <c r="QHT69" s="142"/>
      <c r="QHU69" s="143"/>
      <c r="QHV69" s="144"/>
      <c r="QHW69" s="144"/>
      <c r="QHX69" s="143"/>
      <c r="QHY69" s="145"/>
      <c r="QHZ69" s="143"/>
      <c r="QIA69" s="145"/>
      <c r="QIB69" s="146"/>
      <c r="QIC69" s="147"/>
      <c r="QID69"/>
      <c r="QIE69" s="148"/>
      <c r="QIF69"/>
      <c r="QIG69" s="140"/>
      <c r="QIH69" s="149"/>
      <c r="QII69"/>
      <c r="QIJ69" s="142"/>
      <c r="QIK69" s="143"/>
      <c r="QIL69" s="144"/>
      <c r="QIM69" s="144"/>
      <c r="QIN69" s="143"/>
      <c r="QIO69" s="145"/>
      <c r="QIP69" s="143"/>
      <c r="QIQ69" s="145"/>
      <c r="QIR69" s="146"/>
      <c r="QIS69" s="147"/>
      <c r="QIT69"/>
      <c r="QIU69" s="148"/>
      <c r="QIV69"/>
      <c r="QIW69" s="140"/>
      <c r="QIX69" s="149"/>
      <c r="QIY69"/>
      <c r="QIZ69" s="142"/>
      <c r="QJA69" s="143"/>
      <c r="QJB69" s="144"/>
      <c r="QJC69" s="144"/>
      <c r="QJD69" s="143"/>
      <c r="QJE69" s="145"/>
      <c r="QJF69" s="143"/>
      <c r="QJG69" s="145"/>
      <c r="QJH69" s="146"/>
      <c r="QJI69" s="147"/>
      <c r="QJJ69"/>
      <c r="QJK69" s="148"/>
      <c r="QJL69"/>
      <c r="QJM69" s="140"/>
      <c r="QJN69" s="149"/>
      <c r="QJO69"/>
      <c r="QJP69" s="142"/>
      <c r="QJQ69" s="143"/>
      <c r="QJR69" s="144"/>
      <c r="QJS69" s="144"/>
      <c r="QJT69" s="143"/>
      <c r="QJU69" s="145"/>
      <c r="QJV69" s="143"/>
      <c r="QJW69" s="145"/>
      <c r="QJX69" s="146"/>
      <c r="QJY69" s="147"/>
      <c r="QJZ69"/>
      <c r="QKA69" s="148"/>
      <c r="QKB69"/>
      <c r="QKC69" s="140"/>
      <c r="QKD69" s="149"/>
      <c r="QKE69"/>
      <c r="QKF69" s="142"/>
      <c r="QKG69" s="143"/>
      <c r="QKH69" s="144"/>
      <c r="QKI69" s="144"/>
      <c r="QKJ69" s="143"/>
      <c r="QKK69" s="145"/>
      <c r="QKL69" s="143"/>
      <c r="QKM69" s="145"/>
      <c r="QKN69" s="146"/>
      <c r="QKO69" s="147"/>
      <c r="QKP69"/>
      <c r="QKQ69" s="148"/>
      <c r="QKR69"/>
      <c r="QKS69" s="140"/>
      <c r="QKT69" s="149"/>
      <c r="QKU69"/>
      <c r="QKV69" s="142"/>
      <c r="QKW69" s="143"/>
      <c r="QKX69" s="144"/>
      <c r="QKY69" s="144"/>
      <c r="QKZ69" s="143"/>
      <c r="QLA69" s="145"/>
      <c r="QLB69" s="143"/>
      <c r="QLC69" s="145"/>
      <c r="QLD69" s="146"/>
      <c r="QLE69" s="147"/>
      <c r="QLF69"/>
      <c r="QLG69" s="148"/>
      <c r="QLH69"/>
      <c r="QLI69" s="140"/>
      <c r="QLJ69" s="149"/>
      <c r="QLK69"/>
      <c r="QLL69" s="142"/>
      <c r="QLM69" s="143"/>
      <c r="QLN69" s="144"/>
      <c r="QLO69" s="144"/>
      <c r="QLP69" s="143"/>
      <c r="QLQ69" s="145"/>
      <c r="QLR69" s="143"/>
      <c r="QLS69" s="145"/>
      <c r="QLT69" s="146"/>
      <c r="QLU69" s="147"/>
      <c r="QLV69"/>
      <c r="QLW69" s="148"/>
      <c r="QLX69"/>
      <c r="QLY69" s="140"/>
      <c r="QLZ69" s="149"/>
      <c r="QMA69"/>
      <c r="QMB69" s="142"/>
      <c r="QMC69" s="143"/>
      <c r="QMD69" s="144"/>
      <c r="QME69" s="144"/>
      <c r="QMF69" s="143"/>
      <c r="QMG69" s="145"/>
      <c r="QMH69" s="143"/>
      <c r="QMI69" s="145"/>
      <c r="QMJ69" s="146"/>
      <c r="QMK69" s="147"/>
      <c r="QML69"/>
      <c r="QMM69" s="148"/>
      <c r="QMN69"/>
      <c r="QMO69" s="140"/>
      <c r="QMP69" s="149"/>
      <c r="QMQ69"/>
      <c r="QMR69" s="142"/>
      <c r="QMS69" s="143"/>
      <c r="QMT69" s="144"/>
      <c r="QMU69" s="144"/>
      <c r="QMV69" s="143"/>
      <c r="QMW69" s="145"/>
      <c r="QMX69" s="143"/>
      <c r="QMY69" s="145"/>
      <c r="QMZ69" s="146"/>
      <c r="QNA69" s="147"/>
      <c r="QNB69"/>
      <c r="QNC69" s="148"/>
      <c r="QND69"/>
      <c r="QNE69" s="140"/>
      <c r="QNF69" s="149"/>
      <c r="QNG69"/>
      <c r="QNH69" s="142"/>
      <c r="QNI69" s="143"/>
      <c r="QNJ69" s="144"/>
      <c r="QNK69" s="144"/>
      <c r="QNL69" s="143"/>
      <c r="QNM69" s="145"/>
      <c r="QNN69" s="143"/>
      <c r="QNO69" s="145"/>
      <c r="QNP69" s="146"/>
      <c r="QNQ69" s="147"/>
      <c r="QNR69"/>
      <c r="QNS69" s="148"/>
      <c r="QNT69"/>
      <c r="QNU69" s="140"/>
      <c r="QNV69" s="149"/>
      <c r="QNW69"/>
      <c r="QNX69" s="142"/>
      <c r="QNY69" s="143"/>
      <c r="QNZ69" s="144"/>
      <c r="QOA69" s="144"/>
      <c r="QOB69" s="143"/>
      <c r="QOC69" s="145"/>
      <c r="QOD69" s="143"/>
      <c r="QOE69" s="145"/>
      <c r="QOF69" s="146"/>
      <c r="QOG69" s="147"/>
      <c r="QOH69"/>
      <c r="QOI69" s="148"/>
      <c r="QOJ69"/>
      <c r="QOK69" s="140"/>
      <c r="QOL69" s="149"/>
      <c r="QOM69"/>
      <c r="QON69" s="142"/>
      <c r="QOO69" s="143"/>
      <c r="QOP69" s="144"/>
      <c r="QOQ69" s="144"/>
      <c r="QOR69" s="143"/>
      <c r="QOS69" s="145"/>
      <c r="QOT69" s="143"/>
      <c r="QOU69" s="145"/>
      <c r="QOV69" s="146"/>
      <c r="QOW69" s="147"/>
      <c r="QOX69"/>
      <c r="QOY69" s="148"/>
      <c r="QOZ69"/>
      <c r="QPA69" s="140"/>
      <c r="QPB69" s="149"/>
      <c r="QPC69"/>
      <c r="QPD69" s="142"/>
      <c r="QPE69" s="143"/>
      <c r="QPF69" s="144"/>
      <c r="QPG69" s="144"/>
      <c r="QPH69" s="143"/>
      <c r="QPI69" s="145"/>
      <c r="QPJ69" s="143"/>
      <c r="QPK69" s="145"/>
      <c r="QPL69" s="146"/>
      <c r="QPM69" s="147"/>
      <c r="QPN69"/>
      <c r="QPO69" s="148"/>
      <c r="QPP69"/>
      <c r="QPQ69" s="140"/>
      <c r="QPR69" s="149"/>
      <c r="QPS69"/>
      <c r="QPT69" s="142"/>
      <c r="QPU69" s="143"/>
      <c r="QPV69" s="144"/>
      <c r="QPW69" s="144"/>
      <c r="QPX69" s="143"/>
      <c r="QPY69" s="145"/>
      <c r="QPZ69" s="143"/>
      <c r="QQA69" s="145"/>
      <c r="QQB69" s="146"/>
      <c r="QQC69" s="147"/>
      <c r="QQD69"/>
      <c r="QQE69" s="148"/>
      <c r="QQF69"/>
      <c r="QQG69" s="140"/>
      <c r="QQH69" s="149"/>
      <c r="QQI69"/>
      <c r="QQJ69" s="142"/>
      <c r="QQK69" s="143"/>
      <c r="QQL69" s="144"/>
      <c r="QQM69" s="144"/>
      <c r="QQN69" s="143"/>
      <c r="QQO69" s="145"/>
      <c r="QQP69" s="143"/>
      <c r="QQQ69" s="145"/>
      <c r="QQR69" s="146"/>
      <c r="QQS69" s="147"/>
      <c r="QQT69"/>
      <c r="QQU69" s="148"/>
      <c r="QQV69"/>
      <c r="QQW69" s="140"/>
      <c r="QQX69" s="149"/>
      <c r="QQY69"/>
      <c r="QQZ69" s="142"/>
      <c r="QRA69" s="143"/>
      <c r="QRB69" s="144"/>
      <c r="QRC69" s="144"/>
      <c r="QRD69" s="143"/>
      <c r="QRE69" s="145"/>
      <c r="QRF69" s="143"/>
      <c r="QRG69" s="145"/>
      <c r="QRH69" s="146"/>
      <c r="QRI69" s="147"/>
      <c r="QRJ69"/>
      <c r="QRK69" s="148"/>
      <c r="QRL69"/>
      <c r="QRM69" s="140"/>
      <c r="QRN69" s="149"/>
      <c r="QRO69"/>
      <c r="QRP69" s="142"/>
      <c r="QRQ69" s="143"/>
      <c r="QRR69" s="144"/>
      <c r="QRS69" s="144"/>
      <c r="QRT69" s="143"/>
      <c r="QRU69" s="145"/>
      <c r="QRV69" s="143"/>
      <c r="QRW69" s="145"/>
      <c r="QRX69" s="146"/>
      <c r="QRY69" s="147"/>
      <c r="QRZ69"/>
      <c r="QSA69" s="148"/>
      <c r="QSB69"/>
      <c r="QSC69" s="140"/>
      <c r="QSD69" s="149"/>
      <c r="QSE69"/>
      <c r="QSF69" s="142"/>
      <c r="QSG69" s="143"/>
      <c r="QSH69" s="144"/>
      <c r="QSI69" s="144"/>
      <c r="QSJ69" s="143"/>
      <c r="QSK69" s="145"/>
      <c r="QSL69" s="143"/>
      <c r="QSM69" s="145"/>
      <c r="QSN69" s="146"/>
      <c r="QSO69" s="147"/>
      <c r="QSP69"/>
      <c r="QSQ69" s="148"/>
      <c r="QSR69"/>
      <c r="QSS69" s="140"/>
      <c r="QST69" s="149"/>
      <c r="QSU69"/>
      <c r="QSV69" s="142"/>
      <c r="QSW69" s="143"/>
      <c r="QSX69" s="144"/>
      <c r="QSY69" s="144"/>
      <c r="QSZ69" s="143"/>
      <c r="QTA69" s="145"/>
      <c r="QTB69" s="143"/>
      <c r="QTC69" s="145"/>
      <c r="QTD69" s="146"/>
      <c r="QTE69" s="147"/>
      <c r="QTF69"/>
      <c r="QTG69" s="148"/>
      <c r="QTH69"/>
      <c r="QTI69" s="140"/>
      <c r="QTJ69" s="149"/>
      <c r="QTK69"/>
      <c r="QTL69" s="142"/>
      <c r="QTM69" s="143"/>
      <c r="QTN69" s="144"/>
      <c r="QTO69" s="144"/>
      <c r="QTP69" s="143"/>
      <c r="QTQ69" s="145"/>
      <c r="QTR69" s="143"/>
      <c r="QTS69" s="145"/>
      <c r="QTT69" s="146"/>
      <c r="QTU69" s="147"/>
      <c r="QTV69"/>
      <c r="QTW69" s="148"/>
      <c r="QTX69"/>
      <c r="QTY69" s="140"/>
      <c r="QTZ69" s="149"/>
      <c r="QUA69"/>
      <c r="QUB69" s="142"/>
      <c r="QUC69" s="143"/>
      <c r="QUD69" s="144"/>
      <c r="QUE69" s="144"/>
      <c r="QUF69" s="143"/>
      <c r="QUG69" s="145"/>
      <c r="QUH69" s="143"/>
      <c r="QUI69" s="145"/>
      <c r="QUJ69" s="146"/>
      <c r="QUK69" s="147"/>
      <c r="QUL69"/>
      <c r="QUM69" s="148"/>
      <c r="QUN69"/>
      <c r="QUO69" s="140"/>
      <c r="QUP69" s="149"/>
      <c r="QUQ69"/>
      <c r="QUR69" s="142"/>
      <c r="QUS69" s="143"/>
      <c r="QUT69" s="144"/>
      <c r="QUU69" s="144"/>
      <c r="QUV69" s="143"/>
      <c r="QUW69" s="145"/>
      <c r="QUX69" s="143"/>
      <c r="QUY69" s="145"/>
      <c r="QUZ69" s="146"/>
      <c r="QVA69" s="147"/>
      <c r="QVB69"/>
      <c r="QVC69" s="148"/>
      <c r="QVD69"/>
      <c r="QVE69" s="140"/>
      <c r="QVF69" s="149"/>
      <c r="QVG69"/>
      <c r="QVH69" s="142"/>
      <c r="QVI69" s="143"/>
      <c r="QVJ69" s="144"/>
      <c r="QVK69" s="144"/>
      <c r="QVL69" s="143"/>
      <c r="QVM69" s="145"/>
      <c r="QVN69" s="143"/>
      <c r="QVO69" s="145"/>
      <c r="QVP69" s="146"/>
      <c r="QVQ69" s="147"/>
      <c r="QVR69"/>
      <c r="QVS69" s="148"/>
      <c r="QVT69"/>
      <c r="QVU69" s="140"/>
      <c r="QVV69" s="149"/>
      <c r="QVW69"/>
      <c r="QVX69" s="142"/>
      <c r="QVY69" s="143"/>
      <c r="QVZ69" s="144"/>
      <c r="QWA69" s="144"/>
      <c r="QWB69" s="143"/>
      <c r="QWC69" s="145"/>
      <c r="QWD69" s="143"/>
      <c r="QWE69" s="145"/>
      <c r="QWF69" s="146"/>
      <c r="QWG69" s="147"/>
      <c r="QWH69"/>
      <c r="QWI69" s="148"/>
      <c r="QWJ69"/>
      <c r="QWK69" s="140"/>
      <c r="QWL69" s="149"/>
      <c r="QWM69"/>
      <c r="QWN69" s="142"/>
      <c r="QWO69" s="143"/>
      <c r="QWP69" s="144"/>
      <c r="QWQ69" s="144"/>
      <c r="QWR69" s="143"/>
      <c r="QWS69" s="145"/>
      <c r="QWT69" s="143"/>
      <c r="QWU69" s="145"/>
      <c r="QWV69" s="146"/>
      <c r="QWW69" s="147"/>
      <c r="QWX69"/>
      <c r="QWY69" s="148"/>
      <c r="QWZ69"/>
      <c r="QXA69" s="140"/>
      <c r="QXB69" s="149"/>
      <c r="QXC69"/>
      <c r="QXD69" s="142"/>
      <c r="QXE69" s="143"/>
      <c r="QXF69" s="144"/>
      <c r="QXG69" s="144"/>
      <c r="QXH69" s="143"/>
      <c r="QXI69" s="145"/>
      <c r="QXJ69" s="143"/>
      <c r="QXK69" s="145"/>
      <c r="QXL69" s="146"/>
      <c r="QXM69" s="147"/>
      <c r="QXN69"/>
      <c r="QXO69" s="148"/>
      <c r="QXP69"/>
      <c r="QXQ69" s="140"/>
      <c r="QXR69" s="149"/>
      <c r="QXS69"/>
      <c r="QXT69" s="142"/>
      <c r="QXU69" s="143"/>
      <c r="QXV69" s="144"/>
      <c r="QXW69" s="144"/>
      <c r="QXX69" s="143"/>
      <c r="QXY69" s="145"/>
      <c r="QXZ69" s="143"/>
      <c r="QYA69" s="145"/>
      <c r="QYB69" s="146"/>
      <c r="QYC69" s="147"/>
      <c r="QYD69"/>
      <c r="QYE69" s="148"/>
      <c r="QYF69"/>
      <c r="QYG69" s="140"/>
      <c r="QYH69" s="149"/>
      <c r="QYI69"/>
      <c r="QYJ69" s="142"/>
      <c r="QYK69" s="143"/>
      <c r="QYL69" s="144"/>
      <c r="QYM69" s="144"/>
      <c r="QYN69" s="143"/>
      <c r="QYO69" s="145"/>
      <c r="QYP69" s="143"/>
      <c r="QYQ69" s="145"/>
      <c r="QYR69" s="146"/>
      <c r="QYS69" s="147"/>
      <c r="QYT69"/>
      <c r="QYU69" s="148"/>
      <c r="QYV69"/>
      <c r="QYW69" s="140"/>
      <c r="QYX69" s="149"/>
      <c r="QYY69"/>
      <c r="QYZ69" s="142"/>
      <c r="QZA69" s="143"/>
      <c r="QZB69" s="144"/>
      <c r="QZC69" s="144"/>
      <c r="QZD69" s="143"/>
      <c r="QZE69" s="145"/>
      <c r="QZF69" s="143"/>
      <c r="QZG69" s="145"/>
      <c r="QZH69" s="146"/>
      <c r="QZI69" s="147"/>
      <c r="QZJ69"/>
      <c r="QZK69" s="148"/>
      <c r="QZL69"/>
      <c r="QZM69" s="140"/>
      <c r="QZN69" s="149"/>
      <c r="QZO69"/>
      <c r="QZP69" s="142"/>
      <c r="QZQ69" s="143"/>
      <c r="QZR69" s="144"/>
      <c r="QZS69" s="144"/>
      <c r="QZT69" s="143"/>
      <c r="QZU69" s="145"/>
      <c r="QZV69" s="143"/>
      <c r="QZW69" s="145"/>
      <c r="QZX69" s="146"/>
      <c r="QZY69" s="147"/>
      <c r="QZZ69"/>
      <c r="RAA69" s="148"/>
      <c r="RAB69"/>
      <c r="RAC69" s="140"/>
      <c r="RAD69" s="149"/>
      <c r="RAE69"/>
      <c r="RWX69" s="149"/>
      <c r="RWY69"/>
      <c r="RWZ69" s="142"/>
      <c r="RXA69" s="143"/>
      <c r="RXB69" s="144"/>
      <c r="RXC69" s="144"/>
      <c r="RXD69" s="143"/>
      <c r="RXE69" s="145"/>
      <c r="RXF69" s="143"/>
      <c r="RXG69" s="145"/>
      <c r="RXH69" s="146"/>
      <c r="RXI69" s="147"/>
      <c r="RXJ69"/>
      <c r="RXK69" s="148"/>
      <c r="RXL69"/>
      <c r="RXM69" s="140"/>
      <c r="RXN69" s="149"/>
      <c r="RXO69"/>
      <c r="RXP69" s="142"/>
      <c r="RXQ69" s="143"/>
      <c r="RXR69" s="144"/>
      <c r="RXS69" s="144"/>
      <c r="RXT69" s="143"/>
      <c r="RXU69" s="145"/>
      <c r="RXV69" s="143"/>
      <c r="RXW69" s="145"/>
      <c r="RXX69" s="146"/>
      <c r="RXY69" s="147"/>
      <c r="RXZ69"/>
      <c r="RYA69" s="148"/>
      <c r="RYB69"/>
      <c r="RYC69" s="140"/>
      <c r="RYD69" s="149"/>
      <c r="RYE69"/>
      <c r="RYF69" s="142"/>
      <c r="RYG69" s="143"/>
      <c r="RYH69" s="144"/>
      <c r="RYI69" s="144"/>
      <c r="RYJ69" s="143"/>
      <c r="RYK69" s="145"/>
      <c r="RYL69" s="143"/>
      <c r="RYM69" s="145"/>
      <c r="RYN69" s="146"/>
      <c r="RYO69" s="147"/>
      <c r="RYP69"/>
      <c r="RYQ69" s="148"/>
      <c r="RYR69"/>
      <c r="RYS69" s="140"/>
      <c r="RYT69" s="149"/>
      <c r="RYU69"/>
      <c r="RYV69" s="142"/>
      <c r="RYW69" s="143"/>
      <c r="RYX69" s="144"/>
      <c r="RYY69" s="144"/>
      <c r="RYZ69" s="143"/>
      <c r="RZA69" s="145"/>
      <c r="RZB69" s="143"/>
      <c r="RZC69" s="145"/>
      <c r="RZD69" s="146"/>
      <c r="RZE69" s="147"/>
      <c r="RZF69"/>
      <c r="RZG69" s="148"/>
      <c r="RZH69"/>
      <c r="RZI69" s="140"/>
      <c r="RZJ69" s="149"/>
      <c r="RZK69"/>
      <c r="RZL69" s="142"/>
      <c r="RZM69" s="143"/>
      <c r="RZN69" s="144"/>
      <c r="RZO69" s="144"/>
      <c r="RZP69" s="143"/>
      <c r="RZQ69" s="145"/>
      <c r="RZR69" s="143"/>
      <c r="RZS69" s="145"/>
      <c r="RZT69" s="146"/>
      <c r="RZU69" s="147"/>
      <c r="RZV69"/>
      <c r="RZW69" s="148"/>
      <c r="RZX69"/>
      <c r="RZY69" s="140"/>
      <c r="RZZ69" s="149"/>
      <c r="SAA69"/>
      <c r="SAB69" s="142"/>
      <c r="SAC69" s="143"/>
      <c r="SAD69" s="144"/>
      <c r="SAE69" s="144"/>
      <c r="SAF69" s="143"/>
      <c r="SAG69" s="145"/>
      <c r="SAH69" s="143"/>
      <c r="SAI69" s="145"/>
      <c r="SAJ69" s="146"/>
      <c r="SAK69" s="147"/>
      <c r="SAL69"/>
      <c r="SAM69" s="148"/>
      <c r="SAN69"/>
      <c r="SAO69" s="140"/>
      <c r="SAP69" s="149"/>
      <c r="SAQ69"/>
      <c r="SAR69" s="142"/>
      <c r="SAS69" s="143"/>
      <c r="SAT69" s="144"/>
      <c r="SAU69" s="144"/>
      <c r="SAV69" s="143"/>
      <c r="SAW69" s="145"/>
      <c r="SAX69" s="143"/>
      <c r="SAY69" s="145"/>
      <c r="SAZ69" s="146"/>
      <c r="SBA69" s="147"/>
      <c r="SBB69"/>
      <c r="SBC69" s="148"/>
      <c r="SBD69"/>
      <c r="SBE69" s="140"/>
      <c r="SBF69" s="149"/>
      <c r="SBG69"/>
      <c r="SBH69" s="142"/>
      <c r="SBI69" s="143"/>
      <c r="SBJ69" s="144"/>
      <c r="SBK69" s="144"/>
      <c r="SBL69" s="143"/>
      <c r="SBM69" s="145"/>
      <c r="SBN69" s="143"/>
      <c r="SBO69" s="145"/>
      <c r="SBP69" s="146"/>
      <c r="SBQ69" s="147"/>
      <c r="SBR69"/>
      <c r="SBS69" s="148"/>
      <c r="SBT69"/>
      <c r="SBU69" s="140"/>
      <c r="SBV69" s="149"/>
      <c r="SBW69"/>
      <c r="SBX69" s="142"/>
      <c r="SBY69" s="143"/>
      <c r="SBZ69" s="144"/>
      <c r="SCA69" s="144"/>
      <c r="SCB69" s="143"/>
      <c r="SCC69" s="145"/>
      <c r="SCD69" s="143"/>
      <c r="SCE69" s="145"/>
      <c r="SCF69" s="146"/>
      <c r="SCG69" s="147"/>
      <c r="SCH69"/>
      <c r="SCI69" s="148"/>
      <c r="SCJ69"/>
      <c r="SCK69" s="140"/>
      <c r="SCL69" s="149"/>
      <c r="SCM69"/>
      <c r="SCN69" s="142"/>
      <c r="SCO69" s="143"/>
      <c r="SCP69" s="144"/>
      <c r="SCQ69" s="144"/>
      <c r="SCR69" s="143"/>
      <c r="SCS69" s="145"/>
      <c r="SCT69" s="143"/>
      <c r="SCU69" s="145"/>
      <c r="SCV69" s="146"/>
      <c r="SCW69" s="147"/>
      <c r="SCX69"/>
      <c r="SCY69" s="148"/>
      <c r="SCZ69"/>
      <c r="SDA69" s="140"/>
      <c r="SDB69" s="149"/>
      <c r="SDC69"/>
      <c r="SDD69" s="142"/>
      <c r="SDE69" s="143"/>
      <c r="SDF69" s="144"/>
      <c r="SDG69" s="144"/>
      <c r="SDH69" s="143"/>
      <c r="SDI69" s="145"/>
      <c r="SDJ69" s="143"/>
      <c r="SDK69" s="145"/>
      <c r="SDL69" s="146"/>
      <c r="SDM69" s="147"/>
      <c r="SDN69"/>
      <c r="SDO69" s="148"/>
      <c r="SDP69"/>
      <c r="SDQ69" s="140"/>
      <c r="SDR69" s="149"/>
      <c r="SDS69"/>
      <c r="SDT69" s="142"/>
      <c r="SDU69" s="143"/>
      <c r="SDV69" s="144"/>
      <c r="SDW69" s="144"/>
      <c r="SDX69" s="143"/>
      <c r="SDY69" s="145"/>
      <c r="SDZ69" s="143"/>
      <c r="SEA69" s="145"/>
      <c r="SEB69" s="146"/>
      <c r="SEC69" s="147"/>
      <c r="SED69"/>
      <c r="SEE69" s="148"/>
      <c r="SEF69"/>
      <c r="SEG69" s="140"/>
      <c r="SEH69" s="149"/>
      <c r="SEI69"/>
      <c r="SEJ69" s="142"/>
      <c r="SEK69" s="143"/>
      <c r="SEL69" s="144"/>
      <c r="SEM69" s="144"/>
      <c r="SEN69" s="143"/>
      <c r="SEO69" s="145"/>
      <c r="SEP69" s="143"/>
      <c r="SEQ69" s="145"/>
      <c r="SER69" s="146"/>
      <c r="SES69" s="147"/>
      <c r="SET69"/>
      <c r="SEU69" s="148"/>
      <c r="SEV69"/>
      <c r="SEW69" s="140"/>
      <c r="SEX69" s="149"/>
      <c r="SEY69"/>
      <c r="SEZ69" s="142"/>
      <c r="SFA69" s="143"/>
      <c r="SFB69" s="144"/>
      <c r="SFC69" s="144"/>
      <c r="SFD69" s="143"/>
      <c r="SFE69" s="145"/>
      <c r="SFF69" s="143"/>
      <c r="SFG69" s="145"/>
      <c r="SFH69" s="146"/>
      <c r="SFI69" s="147"/>
      <c r="SFJ69"/>
      <c r="SFK69" s="148"/>
      <c r="SFL69"/>
      <c r="SFM69" s="140"/>
      <c r="SFN69" s="149"/>
      <c r="SFO69"/>
      <c r="SFP69" s="142"/>
      <c r="SFQ69" s="143"/>
      <c r="SFR69" s="144"/>
      <c r="SFS69" s="144"/>
      <c r="SFT69" s="143"/>
      <c r="SFU69" s="145"/>
      <c r="SFV69" s="143"/>
      <c r="SFW69" s="145"/>
      <c r="SFX69" s="146"/>
      <c r="SFY69" s="147"/>
      <c r="SFZ69"/>
      <c r="SGA69" s="148"/>
      <c r="SGB69"/>
      <c r="SGC69" s="140"/>
      <c r="SGD69" s="149"/>
      <c r="SGE69"/>
      <c r="SGF69" s="142"/>
      <c r="SGG69" s="143"/>
      <c r="SGH69" s="144"/>
      <c r="SGI69" s="144"/>
      <c r="SGJ69" s="143"/>
      <c r="SGK69" s="145"/>
      <c r="SGL69" s="143"/>
      <c r="SGM69" s="145"/>
      <c r="SGN69" s="146"/>
      <c r="SGO69" s="147"/>
      <c r="SGP69"/>
      <c r="SGQ69" s="148"/>
      <c r="SGR69"/>
      <c r="SGS69" s="140"/>
      <c r="SGT69" s="149"/>
      <c r="SGU69"/>
      <c r="SGV69" s="142"/>
      <c r="SGW69" s="143"/>
      <c r="SGX69" s="144"/>
      <c r="SGY69" s="144"/>
      <c r="SGZ69" s="143"/>
      <c r="SHA69" s="145"/>
      <c r="SHB69" s="143"/>
      <c r="SHC69" s="145"/>
      <c r="SHD69" s="146"/>
      <c r="SHE69" s="147"/>
      <c r="SHF69"/>
      <c r="SHG69" s="148"/>
      <c r="SHH69"/>
      <c r="SHI69" s="140"/>
      <c r="SHJ69" s="149"/>
      <c r="SHK69"/>
      <c r="SHL69" s="142"/>
      <c r="SHM69" s="143"/>
      <c r="SHN69" s="144"/>
      <c r="SHO69" s="144"/>
      <c r="SHP69" s="143"/>
      <c r="SHQ69" s="145"/>
      <c r="SHR69" s="143"/>
      <c r="SHS69" s="145"/>
      <c r="SHT69" s="146"/>
      <c r="SHU69" s="147"/>
      <c r="SHV69"/>
      <c r="SHW69" s="148"/>
      <c r="SHX69"/>
      <c r="SHY69" s="140"/>
      <c r="SHZ69" s="149"/>
      <c r="SIA69"/>
      <c r="SIB69" s="142"/>
      <c r="SIC69" s="143"/>
      <c r="SID69" s="144"/>
      <c r="SIE69" s="144"/>
      <c r="SIF69" s="143"/>
      <c r="SIG69" s="145"/>
      <c r="SIH69" s="143"/>
      <c r="SII69" s="145"/>
      <c r="SIJ69" s="146"/>
      <c r="SIK69" s="147"/>
      <c r="SIL69"/>
      <c r="SIM69" s="148"/>
      <c r="SIN69"/>
      <c r="SIO69" s="140"/>
      <c r="SIP69" s="149"/>
      <c r="SIQ69"/>
      <c r="SIR69" s="142"/>
      <c r="SIS69" s="143"/>
      <c r="SIT69" s="144"/>
      <c r="SIU69" s="144"/>
      <c r="SIV69" s="143"/>
      <c r="SIW69" s="145"/>
      <c r="SIX69" s="143"/>
      <c r="SIY69" s="145"/>
      <c r="SIZ69" s="146"/>
      <c r="SJA69" s="147"/>
      <c r="SJB69"/>
      <c r="SJC69" s="148"/>
      <c r="SJD69"/>
      <c r="SJE69" s="140"/>
      <c r="SJF69" s="149"/>
      <c r="SJG69"/>
      <c r="SJH69" s="142"/>
      <c r="SJI69" s="143"/>
      <c r="SJJ69" s="144"/>
      <c r="SJK69" s="144"/>
      <c r="SJL69" s="143"/>
      <c r="SJM69" s="145"/>
      <c r="SJN69" s="143"/>
      <c r="SJO69" s="145"/>
      <c r="SJP69" s="146"/>
      <c r="SJQ69" s="147"/>
      <c r="SJR69"/>
      <c r="SJS69" s="148"/>
      <c r="SJT69"/>
      <c r="SJU69" s="140"/>
      <c r="SJV69" s="149"/>
      <c r="SJW69"/>
      <c r="SJX69" s="142"/>
      <c r="SJY69" s="143"/>
      <c r="SJZ69" s="144"/>
      <c r="SKA69" s="144"/>
      <c r="SKB69" s="143"/>
      <c r="SKC69" s="145"/>
      <c r="SKD69" s="143"/>
      <c r="SKE69" s="145"/>
      <c r="SKF69" s="146"/>
      <c r="SKG69" s="147"/>
      <c r="SKH69"/>
      <c r="SKI69" s="148"/>
      <c r="SKJ69"/>
      <c r="SKK69" s="140"/>
      <c r="SKL69" s="149"/>
      <c r="SKM69"/>
      <c r="SKN69" s="142"/>
      <c r="SKO69" s="143"/>
      <c r="SKP69" s="144"/>
      <c r="SKQ69" s="144"/>
      <c r="SKR69" s="143"/>
      <c r="SKS69" s="145"/>
      <c r="SKT69" s="143"/>
      <c r="SKU69" s="145"/>
      <c r="SKV69" s="146"/>
      <c r="SKW69" s="147"/>
      <c r="SKX69"/>
      <c r="SKY69" s="148"/>
      <c r="SKZ69"/>
      <c r="SLA69" s="140"/>
      <c r="SLB69" s="149"/>
      <c r="SLC69"/>
      <c r="SLD69" s="142"/>
      <c r="SLE69" s="143"/>
      <c r="SLF69" s="144"/>
      <c r="SLG69" s="144"/>
      <c r="SLH69" s="143"/>
      <c r="SLI69" s="145"/>
      <c r="SLJ69" s="143"/>
      <c r="SLK69" s="145"/>
      <c r="SLL69" s="146"/>
      <c r="SLM69" s="147"/>
      <c r="SLN69"/>
      <c r="SLO69" s="148"/>
      <c r="SLP69"/>
      <c r="SLQ69" s="140"/>
      <c r="SLR69" s="149"/>
      <c r="SLS69"/>
      <c r="SLT69" s="142"/>
      <c r="SLU69" s="143"/>
      <c r="SLV69" s="144"/>
      <c r="SLW69" s="144"/>
      <c r="SLX69" s="143"/>
      <c r="SLY69" s="145"/>
      <c r="SLZ69" s="143"/>
      <c r="SMA69" s="145"/>
      <c r="SMB69" s="146"/>
      <c r="SMC69" s="147"/>
      <c r="SMD69"/>
      <c r="SME69" s="148"/>
      <c r="SMF69"/>
      <c r="SMG69" s="140"/>
      <c r="SMH69" s="149"/>
      <c r="SMI69"/>
      <c r="SMJ69" s="142"/>
      <c r="SMK69" s="143"/>
      <c r="SML69" s="144"/>
      <c r="SMM69" s="144"/>
      <c r="SMN69" s="143"/>
      <c r="SMO69" s="145"/>
      <c r="SMP69" s="143"/>
      <c r="SMQ69" s="145"/>
      <c r="SMR69" s="146"/>
      <c r="SMS69" s="147"/>
      <c r="SMT69"/>
      <c r="SMU69" s="148"/>
      <c r="SMV69"/>
      <c r="SMW69" s="140"/>
      <c r="SMX69" s="149"/>
      <c r="SMY69"/>
      <c r="SMZ69" s="142"/>
      <c r="SNA69" s="143"/>
      <c r="SNB69" s="144"/>
      <c r="SNC69" s="144"/>
      <c r="SND69" s="143"/>
      <c r="SNE69" s="145"/>
      <c r="SNF69" s="143"/>
      <c r="SNG69" s="145"/>
      <c r="SNH69" s="146"/>
      <c r="SNI69" s="147"/>
      <c r="SNJ69"/>
      <c r="SNK69" s="148"/>
      <c r="SNL69"/>
      <c r="SNM69" s="140"/>
      <c r="SNN69" s="149"/>
      <c r="SNO69"/>
      <c r="SNP69" s="142"/>
      <c r="SNQ69" s="143"/>
      <c r="SNR69" s="144"/>
      <c r="SNS69" s="144"/>
      <c r="SNT69" s="143"/>
      <c r="SNU69" s="145"/>
      <c r="SNV69" s="143"/>
      <c r="SNW69" s="145"/>
      <c r="SNX69" s="146"/>
      <c r="SNY69" s="147"/>
      <c r="SNZ69"/>
      <c r="SOA69" s="148"/>
      <c r="SOB69"/>
      <c r="SOC69" s="140"/>
      <c r="SOD69" s="149"/>
      <c r="SOE69"/>
      <c r="SOF69" s="142"/>
      <c r="SOG69" s="143"/>
      <c r="SOH69" s="144"/>
      <c r="SOI69" s="144"/>
      <c r="SOJ69" s="143"/>
      <c r="SOK69" s="145"/>
      <c r="SOL69" s="143"/>
      <c r="SOM69" s="145"/>
      <c r="SON69" s="146"/>
      <c r="SOO69" s="147"/>
      <c r="SOP69"/>
      <c r="SOQ69" s="148"/>
      <c r="SOR69"/>
      <c r="SOS69" s="140"/>
      <c r="SOT69" s="149"/>
      <c r="SOU69"/>
      <c r="SOV69" s="142"/>
      <c r="SOW69" s="143"/>
      <c r="SOX69" s="144"/>
      <c r="SOY69" s="144"/>
      <c r="SOZ69" s="143"/>
      <c r="SPA69" s="145"/>
      <c r="SPB69" s="143"/>
      <c r="SPC69" s="145"/>
      <c r="SPD69" s="146"/>
      <c r="SPE69" s="147"/>
      <c r="SPF69"/>
      <c r="SPG69" s="148"/>
      <c r="SPH69"/>
      <c r="SPI69" s="140"/>
      <c r="SPJ69" s="149"/>
      <c r="SPK69"/>
      <c r="SPL69" s="142"/>
      <c r="SPM69" s="143"/>
      <c r="SPN69" s="144"/>
      <c r="SPO69" s="144"/>
      <c r="SPP69" s="143"/>
      <c r="SPQ69" s="145"/>
      <c r="SPR69" s="143"/>
      <c r="SPS69" s="145"/>
      <c r="SPT69" s="146"/>
      <c r="SPU69" s="147"/>
      <c r="SPV69"/>
      <c r="SPW69" s="148"/>
      <c r="SPX69"/>
      <c r="SPY69" s="140"/>
      <c r="SPZ69" s="149"/>
      <c r="SQA69"/>
      <c r="SQB69" s="142"/>
      <c r="SQC69" s="143"/>
      <c r="SQD69" s="144"/>
      <c r="SQE69" s="144"/>
      <c r="SQF69" s="143"/>
      <c r="SQG69" s="145"/>
      <c r="SQH69" s="143"/>
      <c r="SQI69" s="145"/>
      <c r="SQJ69" s="146"/>
      <c r="SQK69" s="147"/>
      <c r="SQL69"/>
      <c r="SQM69" s="148"/>
      <c r="SQN69"/>
      <c r="SQO69" s="140"/>
      <c r="SQP69" s="149"/>
      <c r="SQQ69"/>
      <c r="SQR69" s="142"/>
      <c r="SQS69" s="143"/>
      <c r="SQT69" s="144"/>
      <c r="SQU69" s="144"/>
      <c r="SQV69" s="143"/>
      <c r="SQW69" s="145"/>
      <c r="SQX69" s="143"/>
      <c r="SQY69" s="145"/>
      <c r="SQZ69" s="146"/>
      <c r="SRA69" s="147"/>
      <c r="SRB69"/>
      <c r="SRC69" s="148"/>
      <c r="SRD69"/>
      <c r="SRE69" s="140"/>
      <c r="SRF69" s="149"/>
      <c r="SRG69"/>
      <c r="SRH69" s="142"/>
      <c r="SRI69" s="143"/>
      <c r="SRJ69" s="144"/>
      <c r="SRK69" s="144"/>
      <c r="SRL69" s="143"/>
      <c r="SRM69" s="145"/>
      <c r="SRN69" s="143"/>
      <c r="SRO69" s="145"/>
      <c r="SRP69" s="146"/>
      <c r="SRQ69" s="147"/>
      <c r="SRR69"/>
      <c r="SRS69" s="148"/>
      <c r="SRT69"/>
      <c r="SRU69" s="140"/>
      <c r="SRV69" s="149"/>
      <c r="SRW69"/>
      <c r="SRX69" s="142"/>
      <c r="SRY69" s="143"/>
      <c r="SRZ69" s="144"/>
      <c r="SSA69" s="144"/>
      <c r="SSB69" s="143"/>
      <c r="SSC69" s="145"/>
      <c r="SSD69" s="143"/>
      <c r="SSE69" s="145"/>
      <c r="SSF69" s="146"/>
      <c r="SSG69" s="147"/>
      <c r="SSH69"/>
      <c r="SSI69" s="148"/>
      <c r="SSJ69"/>
      <c r="SSK69" s="140"/>
      <c r="SSL69" s="149"/>
      <c r="SSM69"/>
      <c r="SSN69" s="142"/>
      <c r="SSO69" s="143"/>
      <c r="SSP69" s="144"/>
      <c r="SSQ69" s="144"/>
      <c r="SSR69" s="143"/>
      <c r="SSS69" s="145"/>
      <c r="SST69" s="143"/>
      <c r="SSU69" s="145"/>
      <c r="SSV69" s="146"/>
      <c r="SSW69" s="147"/>
      <c r="SSX69"/>
      <c r="SSY69" s="148"/>
      <c r="SSZ69"/>
      <c r="STA69" s="140"/>
      <c r="STB69" s="149"/>
      <c r="STC69"/>
      <c r="STD69" s="142"/>
      <c r="STE69" s="143"/>
      <c r="STF69" s="144"/>
      <c r="STG69" s="144"/>
      <c r="STH69" s="143"/>
      <c r="STI69" s="145"/>
      <c r="STJ69" s="143"/>
      <c r="STK69" s="145"/>
      <c r="STL69" s="146"/>
      <c r="STM69" s="147"/>
      <c r="STN69"/>
      <c r="STO69" s="148"/>
      <c r="STP69"/>
      <c r="STQ69" s="140"/>
      <c r="STR69" s="149"/>
      <c r="STS69"/>
      <c r="STT69" s="142"/>
      <c r="STU69" s="143"/>
      <c r="STV69" s="144"/>
      <c r="STW69" s="144"/>
      <c r="STX69" s="143"/>
      <c r="STY69" s="145"/>
      <c r="STZ69" s="143"/>
      <c r="SUA69" s="145"/>
      <c r="SUB69" s="146"/>
      <c r="SUC69" s="147"/>
      <c r="SUD69"/>
      <c r="SUE69" s="148"/>
      <c r="SUF69"/>
      <c r="SUG69" s="140"/>
      <c r="SUH69" s="149"/>
      <c r="SUI69"/>
      <c r="SUJ69" s="142"/>
      <c r="SUK69" s="143"/>
      <c r="SUL69" s="144"/>
      <c r="SUM69" s="144"/>
      <c r="SUN69" s="143"/>
      <c r="SUO69" s="145"/>
      <c r="SUP69" s="143"/>
      <c r="SUQ69" s="145"/>
      <c r="SUR69" s="146"/>
      <c r="SUS69" s="147"/>
      <c r="SUT69"/>
      <c r="SUU69" s="148"/>
      <c r="SUV69"/>
      <c r="SUW69" s="140"/>
      <c r="SUX69" s="149"/>
      <c r="SUY69"/>
      <c r="SUZ69" s="142"/>
      <c r="SVA69" s="143"/>
      <c r="SVB69" s="144"/>
      <c r="SVC69" s="144"/>
      <c r="SVD69" s="143"/>
      <c r="SVE69" s="145"/>
      <c r="SVF69" s="143"/>
      <c r="SVG69" s="145"/>
      <c r="SVH69" s="146"/>
      <c r="SVI69" s="147"/>
      <c r="SVJ69"/>
      <c r="SVK69" s="148"/>
      <c r="SVL69"/>
      <c r="SVM69" s="140"/>
      <c r="SVN69" s="149"/>
      <c r="SVO69"/>
      <c r="SVP69" s="142"/>
      <c r="SVQ69" s="143"/>
      <c r="SVR69" s="144"/>
      <c r="SVS69" s="144"/>
      <c r="SVT69" s="143"/>
      <c r="SVU69" s="145"/>
      <c r="SVV69" s="143"/>
      <c r="SVW69" s="145"/>
      <c r="SVX69" s="146"/>
      <c r="SVY69" s="147"/>
      <c r="SVZ69"/>
      <c r="SWA69" s="148"/>
      <c r="SWB69"/>
      <c r="SWC69" s="140"/>
      <c r="SWD69" s="149"/>
      <c r="SWE69"/>
      <c r="SWF69" s="142"/>
      <c r="SWG69" s="143"/>
      <c r="SWH69" s="144"/>
      <c r="SWI69" s="144"/>
      <c r="SWJ69" s="143"/>
      <c r="SWK69" s="145"/>
      <c r="SWL69" s="143"/>
      <c r="SWM69" s="145"/>
      <c r="SWN69" s="146"/>
      <c r="SWO69" s="147"/>
      <c r="SWP69"/>
      <c r="SWQ69" s="148"/>
      <c r="SWR69"/>
      <c r="SWS69" s="140"/>
      <c r="SWT69" s="149"/>
      <c r="SWU69"/>
      <c r="SWV69" s="142"/>
      <c r="SWW69" s="143"/>
      <c r="SWX69" s="144"/>
      <c r="SWY69" s="144"/>
      <c r="SWZ69" s="143"/>
      <c r="SXA69" s="145"/>
      <c r="SXB69" s="143"/>
      <c r="SXC69" s="145"/>
      <c r="SXD69" s="146"/>
      <c r="SXE69" s="147"/>
      <c r="SXF69"/>
      <c r="SXG69" s="148"/>
      <c r="SXH69"/>
      <c r="SXI69" s="140"/>
      <c r="SXJ69" s="149"/>
      <c r="SXK69"/>
      <c r="SXL69" s="142"/>
      <c r="SXM69" s="143"/>
      <c r="SXN69" s="144"/>
      <c r="SXO69" s="144"/>
      <c r="SXP69" s="143"/>
      <c r="SXQ69" s="145"/>
      <c r="SXR69" s="143"/>
      <c r="SXS69" s="145"/>
      <c r="SXT69" s="146"/>
      <c r="SXU69" s="147"/>
      <c r="SXV69"/>
      <c r="SXW69" s="148"/>
      <c r="SXX69"/>
      <c r="SXY69" s="140"/>
      <c r="SXZ69" s="149"/>
      <c r="SYA69"/>
      <c r="SYB69" s="142"/>
      <c r="SYC69" s="143"/>
      <c r="SYD69" s="144"/>
      <c r="SYE69" s="144"/>
      <c r="SYF69" s="143"/>
      <c r="SYG69" s="145"/>
      <c r="SYH69" s="143"/>
      <c r="SYI69" s="145"/>
      <c r="SYJ69" s="146"/>
      <c r="SYK69" s="147"/>
      <c r="SYL69"/>
      <c r="SYM69" s="148"/>
      <c r="SYN69"/>
      <c r="SYO69" s="140"/>
      <c r="SYP69" s="149"/>
      <c r="SYQ69"/>
      <c r="SYR69" s="142"/>
      <c r="SYS69" s="143"/>
      <c r="SYT69" s="144"/>
      <c r="SYU69" s="144"/>
      <c r="SYV69" s="143"/>
      <c r="SYW69" s="145"/>
      <c r="SYX69" s="143"/>
      <c r="SYY69" s="145"/>
      <c r="SYZ69" s="146"/>
      <c r="SZA69" s="147"/>
      <c r="SZB69"/>
      <c r="SZC69" s="148"/>
      <c r="SZD69"/>
      <c r="SZE69" s="140"/>
      <c r="SZF69" s="149"/>
      <c r="SZG69"/>
      <c r="SZH69" s="142"/>
      <c r="SZI69" s="143"/>
      <c r="SZJ69" s="144"/>
      <c r="SZK69" s="144"/>
      <c r="SZL69" s="143"/>
      <c r="SZM69" s="145"/>
      <c r="SZN69" s="143"/>
      <c r="SZO69" s="145"/>
      <c r="SZP69" s="146"/>
      <c r="SZQ69" s="147"/>
      <c r="SZR69"/>
      <c r="SZS69" s="148"/>
      <c r="SZT69"/>
      <c r="SZU69" s="140"/>
      <c r="SZV69" s="149"/>
      <c r="SZW69"/>
      <c r="SZX69" s="142"/>
      <c r="SZY69" s="143"/>
      <c r="SZZ69" s="144"/>
      <c r="TAA69" s="144"/>
      <c r="TAB69" s="143"/>
      <c r="TAC69" s="145"/>
      <c r="TAD69" s="143"/>
      <c r="TAE69" s="145"/>
      <c r="TAF69" s="146"/>
      <c r="TAG69" s="147"/>
      <c r="TAH69"/>
      <c r="TAI69" s="148"/>
      <c r="TAJ69"/>
      <c r="TAK69" s="140"/>
      <c r="TAL69" s="149"/>
      <c r="TAM69"/>
      <c r="TAN69" s="142"/>
      <c r="TAO69" s="143"/>
      <c r="TAP69" s="144"/>
      <c r="TAQ69" s="144"/>
      <c r="TAR69" s="143"/>
      <c r="TAS69" s="145"/>
      <c r="TAT69" s="143"/>
      <c r="TAU69" s="145"/>
      <c r="TAV69" s="146"/>
      <c r="TAW69" s="147"/>
      <c r="TAX69"/>
      <c r="TAY69" s="148"/>
      <c r="TAZ69"/>
      <c r="TBA69" s="140"/>
      <c r="TBB69" s="149"/>
      <c r="TBC69"/>
      <c r="TBD69" s="142"/>
      <c r="TBE69" s="143"/>
      <c r="TBF69" s="144"/>
      <c r="TBG69" s="144"/>
      <c r="TBH69" s="143"/>
      <c r="TBI69" s="145"/>
      <c r="TBJ69" s="143"/>
      <c r="TBK69" s="145"/>
      <c r="TBL69" s="146"/>
      <c r="TBM69" s="147"/>
      <c r="TBN69"/>
      <c r="TBO69" s="148"/>
      <c r="TBP69"/>
      <c r="TBQ69" s="140"/>
      <c r="TBR69" s="149"/>
      <c r="TBS69"/>
      <c r="TBT69" s="142"/>
      <c r="TBU69" s="143"/>
      <c r="TBV69" s="144"/>
      <c r="TBW69" s="144"/>
      <c r="TBX69" s="143"/>
      <c r="TBY69" s="145"/>
      <c r="TBZ69" s="143"/>
      <c r="TCA69" s="145"/>
      <c r="TCB69" s="146"/>
      <c r="TCC69" s="147"/>
      <c r="TCD69"/>
      <c r="TCE69" s="148"/>
      <c r="TCF69"/>
      <c r="TCG69" s="140"/>
      <c r="TCH69" s="149"/>
      <c r="TCI69"/>
      <c r="TCJ69" s="142"/>
      <c r="TCK69" s="143"/>
      <c r="TCL69" s="144"/>
      <c r="TCM69" s="144"/>
      <c r="TCN69" s="143"/>
      <c r="TCO69" s="145"/>
      <c r="TCP69" s="143"/>
      <c r="TCQ69" s="145"/>
      <c r="TCR69" s="146"/>
      <c r="TCS69" s="147"/>
      <c r="TCT69"/>
      <c r="TCU69" s="148"/>
      <c r="TCV69"/>
      <c r="TCW69" s="140"/>
      <c r="TCX69" s="149"/>
      <c r="TCY69"/>
      <c r="TCZ69" s="142"/>
      <c r="TDA69" s="143"/>
      <c r="TDB69" s="144"/>
      <c r="TDC69" s="144"/>
      <c r="TDD69" s="143"/>
      <c r="TDE69" s="145"/>
      <c r="TDF69" s="143"/>
      <c r="TDG69" s="145"/>
      <c r="TDH69" s="146"/>
      <c r="TDI69" s="147"/>
      <c r="TDJ69"/>
      <c r="TDK69" s="148"/>
      <c r="TDL69"/>
      <c r="TDM69" s="140"/>
      <c r="TDN69" s="149"/>
      <c r="TDO69"/>
      <c r="TDP69" s="142"/>
      <c r="TDQ69" s="143"/>
      <c r="TDR69" s="144"/>
      <c r="TDS69" s="144"/>
      <c r="TDT69" s="143"/>
      <c r="TDU69" s="145"/>
      <c r="TDV69" s="143"/>
      <c r="TDW69" s="145"/>
      <c r="TDX69" s="146"/>
      <c r="TDY69" s="147"/>
      <c r="TDZ69"/>
      <c r="TEA69" s="148"/>
      <c r="TEB69"/>
      <c r="TEC69" s="140"/>
      <c r="TED69" s="149"/>
      <c r="TEE69"/>
      <c r="TEF69" s="142"/>
      <c r="TEG69" s="143"/>
      <c r="TEH69" s="144"/>
      <c r="TEI69" s="144"/>
      <c r="TEJ69" s="143"/>
      <c r="TEK69" s="145"/>
      <c r="TEL69" s="143"/>
      <c r="TEM69" s="145"/>
      <c r="TEN69" s="146"/>
      <c r="TEO69" s="147"/>
      <c r="TEP69"/>
      <c r="TEQ69" s="148"/>
      <c r="TER69"/>
      <c r="TES69" s="140"/>
      <c r="TET69" s="149"/>
      <c r="TEU69"/>
      <c r="TEV69" s="142"/>
      <c r="TEW69" s="143"/>
      <c r="TEX69" s="144"/>
      <c r="TEY69" s="144"/>
      <c r="TEZ69" s="143"/>
      <c r="TFA69" s="145"/>
      <c r="TFB69" s="143"/>
      <c r="TFC69" s="145"/>
      <c r="TFD69" s="146"/>
      <c r="TFE69" s="147"/>
      <c r="TFF69"/>
      <c r="TFG69" s="148"/>
      <c r="TFH69"/>
      <c r="TFI69" s="140"/>
      <c r="TFJ69" s="149"/>
      <c r="TFK69"/>
      <c r="TFL69" s="142"/>
      <c r="TFM69" s="143"/>
      <c r="TFN69" s="144"/>
      <c r="TFO69" s="144"/>
      <c r="TFP69" s="143"/>
      <c r="TFQ69" s="145"/>
      <c r="TFR69" s="143"/>
      <c r="TFS69" s="145"/>
      <c r="TFT69" s="146"/>
      <c r="TFU69" s="147"/>
      <c r="TFV69"/>
      <c r="TFW69" s="148"/>
      <c r="TFX69"/>
      <c r="TFY69" s="140"/>
      <c r="TFZ69" s="149"/>
      <c r="TGA69"/>
      <c r="TGB69" s="142"/>
      <c r="TGC69" s="143"/>
      <c r="TGD69" s="144"/>
      <c r="TGE69" s="144"/>
      <c r="TGF69" s="143"/>
      <c r="TGG69" s="145"/>
      <c r="TGH69" s="143"/>
      <c r="TGI69" s="145"/>
      <c r="TGJ69" s="146"/>
      <c r="TGK69" s="147"/>
      <c r="TGL69"/>
      <c r="TGM69" s="148"/>
      <c r="TGN69"/>
      <c r="TGO69" s="140"/>
      <c r="TGP69" s="149"/>
      <c r="TGQ69"/>
      <c r="TGR69" s="142"/>
      <c r="TGS69" s="143"/>
      <c r="TGT69" s="144"/>
      <c r="TGU69" s="144"/>
      <c r="TGV69" s="143"/>
      <c r="TGW69" s="145"/>
      <c r="TGX69" s="143"/>
      <c r="TGY69" s="145"/>
      <c r="TGZ69" s="146"/>
      <c r="THA69" s="147"/>
      <c r="THB69"/>
      <c r="THC69" s="148"/>
      <c r="THD69"/>
      <c r="THE69" s="140"/>
      <c r="THF69" s="149"/>
      <c r="THG69"/>
      <c r="THH69" s="142"/>
      <c r="THI69" s="143"/>
      <c r="THJ69" s="144"/>
      <c r="THK69" s="144"/>
      <c r="THL69" s="143"/>
      <c r="THM69" s="145"/>
      <c r="THN69" s="143"/>
      <c r="THO69" s="145"/>
      <c r="THP69" s="146"/>
      <c r="THQ69" s="147"/>
      <c r="THR69"/>
      <c r="THS69" s="148"/>
      <c r="THT69"/>
      <c r="THU69" s="140"/>
      <c r="THV69" s="149"/>
      <c r="THW69"/>
      <c r="THX69" s="142"/>
      <c r="THY69" s="143"/>
      <c r="THZ69" s="144"/>
      <c r="TIA69" s="144"/>
      <c r="TIB69" s="143"/>
      <c r="TIC69" s="145"/>
      <c r="TID69" s="143"/>
      <c r="TIE69" s="145"/>
      <c r="TIF69" s="146"/>
      <c r="TIG69" s="147"/>
      <c r="TIH69"/>
      <c r="TII69" s="148"/>
      <c r="TIJ69"/>
      <c r="TIK69" s="140"/>
      <c r="TIL69" s="149"/>
      <c r="TIM69"/>
      <c r="TIN69" s="142"/>
      <c r="TIO69" s="143"/>
      <c r="TIP69" s="144"/>
      <c r="TIQ69" s="144"/>
      <c r="TIR69" s="143"/>
      <c r="TIS69" s="145"/>
      <c r="TIT69" s="143"/>
      <c r="TIU69" s="145"/>
      <c r="TIV69" s="146"/>
      <c r="TIW69" s="147"/>
      <c r="TIX69"/>
      <c r="TIY69" s="148"/>
      <c r="TIZ69"/>
      <c r="TJA69" s="140"/>
      <c r="TJB69" s="149"/>
      <c r="TJC69"/>
      <c r="TJD69" s="142"/>
      <c r="TJE69" s="143"/>
      <c r="TJF69" s="144"/>
      <c r="TJG69" s="144"/>
      <c r="TJH69" s="143"/>
      <c r="TJI69" s="145"/>
      <c r="TJJ69" s="143"/>
      <c r="TJK69" s="145"/>
      <c r="TJL69" s="146"/>
      <c r="TJM69" s="147"/>
      <c r="TJN69"/>
      <c r="TJO69" s="148"/>
      <c r="TJP69"/>
      <c r="TJQ69" s="140"/>
      <c r="TJR69" s="149"/>
      <c r="TJS69"/>
      <c r="TJT69" s="142"/>
      <c r="TJU69" s="143"/>
      <c r="TJV69" s="144"/>
      <c r="TJW69" s="144"/>
      <c r="TJX69" s="143"/>
      <c r="TJY69" s="145"/>
      <c r="TJZ69" s="143"/>
      <c r="TKA69" s="145"/>
      <c r="TKB69" s="146"/>
      <c r="TKC69" s="147"/>
      <c r="TKD69"/>
      <c r="TKE69" s="148"/>
      <c r="TKF69"/>
      <c r="TKG69" s="140"/>
      <c r="TKH69" s="149"/>
      <c r="TKI69"/>
      <c r="TKJ69" s="142"/>
      <c r="TKK69" s="143"/>
      <c r="TKL69" s="144"/>
      <c r="TKM69" s="144"/>
      <c r="TKN69" s="143"/>
      <c r="TKO69" s="145"/>
      <c r="TKP69" s="143"/>
      <c r="TKQ69" s="145"/>
      <c r="TKR69" s="146"/>
      <c r="TKS69" s="147"/>
      <c r="TKT69"/>
      <c r="TKU69" s="148"/>
      <c r="TKV69"/>
      <c r="TKW69" s="140"/>
      <c r="TKX69" s="149"/>
      <c r="TKY69"/>
      <c r="TKZ69" s="142"/>
      <c r="TLA69" s="143"/>
      <c r="TLB69" s="144"/>
      <c r="TLC69" s="144"/>
      <c r="TLD69" s="143"/>
      <c r="TLE69" s="145"/>
      <c r="TLF69" s="143"/>
      <c r="TLG69" s="145"/>
      <c r="TLH69" s="146"/>
      <c r="TLI69" s="147"/>
      <c r="TLJ69"/>
      <c r="TLK69" s="148"/>
      <c r="TLL69"/>
      <c r="TLM69" s="140"/>
      <c r="TLN69" s="149"/>
      <c r="TLO69"/>
      <c r="TLP69" s="142"/>
      <c r="TLQ69" s="143"/>
      <c r="TLR69" s="144"/>
      <c r="TLS69" s="144"/>
      <c r="TLT69" s="143"/>
      <c r="TLU69" s="145"/>
      <c r="TLV69" s="143"/>
      <c r="TLW69" s="145"/>
      <c r="TLX69" s="146"/>
      <c r="TLY69" s="147"/>
      <c r="TLZ69"/>
      <c r="TMA69" s="148"/>
      <c r="TMB69"/>
      <c r="TMC69" s="140"/>
      <c r="TMD69" s="149"/>
      <c r="TME69"/>
      <c r="TMF69" s="142"/>
      <c r="TMG69" s="143"/>
      <c r="TMH69" s="144"/>
      <c r="TMI69" s="144"/>
      <c r="TMJ69" s="143"/>
      <c r="TMK69" s="145"/>
      <c r="TML69" s="143"/>
      <c r="TMM69" s="145"/>
      <c r="TMN69" s="146"/>
      <c r="TMO69" s="147"/>
      <c r="TMP69"/>
      <c r="TMQ69" s="148"/>
      <c r="TMR69"/>
      <c r="TMS69" s="140"/>
      <c r="TMT69" s="149"/>
      <c r="TMU69"/>
      <c r="TMV69" s="142"/>
      <c r="TMW69" s="143"/>
      <c r="TMX69" s="144"/>
      <c r="TMY69" s="144"/>
      <c r="TMZ69" s="143"/>
      <c r="TNA69" s="145"/>
      <c r="TNB69" s="143"/>
      <c r="TNC69" s="145"/>
      <c r="TND69" s="146"/>
      <c r="TNE69" s="147"/>
      <c r="TNF69"/>
      <c r="TNG69" s="148"/>
      <c r="TNH69"/>
      <c r="TNI69" s="140"/>
      <c r="TNJ69" s="149"/>
      <c r="TNK69"/>
      <c r="TNL69" s="142"/>
      <c r="TNM69" s="143"/>
      <c r="TNN69" s="144"/>
      <c r="TNO69" s="144"/>
      <c r="TNP69" s="143"/>
      <c r="TNQ69" s="145"/>
      <c r="TNR69" s="143"/>
      <c r="TNS69" s="145"/>
      <c r="TNT69" s="146"/>
      <c r="TNU69" s="147"/>
      <c r="TNV69"/>
      <c r="TNW69" s="148"/>
      <c r="TNX69"/>
      <c r="TNY69" s="140"/>
      <c r="TNZ69" s="149"/>
      <c r="TOA69"/>
      <c r="TOB69" s="142"/>
      <c r="TOC69" s="143"/>
      <c r="TOD69" s="144"/>
      <c r="TOE69" s="144"/>
      <c r="TOF69" s="143"/>
      <c r="TOG69" s="145"/>
      <c r="TOH69" s="143"/>
      <c r="TOI69" s="145"/>
      <c r="TOJ69" s="146"/>
      <c r="TOK69" s="147"/>
      <c r="TOL69"/>
      <c r="TOM69" s="148"/>
      <c r="TON69"/>
      <c r="TOO69" s="140"/>
      <c r="TOP69" s="149"/>
      <c r="TOQ69"/>
      <c r="TOR69" s="142"/>
      <c r="TOS69" s="143"/>
      <c r="TOT69" s="144"/>
      <c r="TOU69" s="144"/>
      <c r="TOV69" s="143"/>
      <c r="TOW69" s="145"/>
      <c r="TOX69" s="143"/>
      <c r="TOY69" s="145"/>
      <c r="TOZ69" s="146"/>
      <c r="TPA69" s="147"/>
      <c r="TPB69"/>
      <c r="TPC69" s="148"/>
      <c r="TPD69"/>
      <c r="TPE69" s="140"/>
      <c r="TPF69" s="149"/>
      <c r="TPG69"/>
      <c r="TPH69" s="142"/>
      <c r="TPI69" s="143"/>
      <c r="TPJ69" s="144"/>
      <c r="TPK69" s="144"/>
      <c r="TPL69" s="143"/>
      <c r="TPM69" s="145"/>
      <c r="TPN69" s="143"/>
      <c r="TPO69" s="145"/>
      <c r="TPP69" s="146"/>
      <c r="TPQ69" s="147"/>
      <c r="TPR69"/>
      <c r="TPS69" s="148"/>
      <c r="TPT69"/>
      <c r="TPU69" s="140"/>
      <c r="TPV69" s="149"/>
      <c r="TPW69"/>
      <c r="TPX69" s="142"/>
      <c r="TPY69" s="143"/>
      <c r="TPZ69" s="144"/>
      <c r="TQA69" s="144"/>
      <c r="TQB69" s="143"/>
      <c r="TQC69" s="145"/>
      <c r="TQD69" s="143"/>
      <c r="TQE69" s="145"/>
      <c r="TQF69" s="146"/>
      <c r="TQG69" s="147"/>
      <c r="TQH69"/>
      <c r="TQI69" s="148"/>
      <c r="TQJ69"/>
      <c r="TQK69" s="140"/>
      <c r="TQL69" s="149"/>
      <c r="TQM69"/>
      <c r="TQN69" s="142"/>
      <c r="TQO69" s="143"/>
      <c r="TQP69" s="144"/>
      <c r="TQQ69" s="144"/>
      <c r="TQR69" s="143"/>
      <c r="TQS69" s="145"/>
      <c r="TQT69" s="143"/>
      <c r="TQU69" s="145"/>
      <c r="TQV69" s="146"/>
      <c r="TQW69" s="147"/>
      <c r="TQX69"/>
      <c r="TQY69" s="148"/>
      <c r="TQZ69"/>
      <c r="TRA69" s="140"/>
      <c r="TRB69" s="149"/>
      <c r="TRC69"/>
      <c r="TRD69" s="142"/>
      <c r="TRE69" s="143"/>
      <c r="TRF69" s="144"/>
      <c r="TRG69" s="144"/>
      <c r="TRH69" s="143"/>
      <c r="TRI69" s="145"/>
      <c r="TRJ69" s="143"/>
      <c r="TRK69" s="145"/>
      <c r="TRL69" s="146"/>
      <c r="TRM69" s="147"/>
      <c r="TRN69"/>
      <c r="TRO69" s="148"/>
      <c r="TRP69"/>
      <c r="TRQ69" s="140"/>
      <c r="TRR69" s="149"/>
      <c r="TRS69"/>
      <c r="TRT69" s="142"/>
      <c r="TRU69" s="143"/>
      <c r="TRV69" s="144"/>
      <c r="TRW69" s="144"/>
      <c r="TRX69" s="143"/>
      <c r="TRY69" s="145"/>
      <c r="TRZ69" s="143"/>
      <c r="TSA69" s="145"/>
      <c r="TSB69" s="146"/>
      <c r="TSC69" s="147"/>
      <c r="TSD69"/>
      <c r="TSE69" s="148"/>
      <c r="TSF69"/>
      <c r="TSG69" s="140"/>
      <c r="TSH69" s="149"/>
      <c r="TSI69"/>
      <c r="TSJ69" s="142"/>
      <c r="TSK69" s="143"/>
      <c r="TSL69" s="144"/>
      <c r="TSM69" s="144"/>
      <c r="TSN69" s="143"/>
      <c r="TSO69" s="145"/>
      <c r="TSP69" s="143"/>
      <c r="TSQ69" s="145"/>
      <c r="TSR69" s="146"/>
      <c r="TSS69" s="147"/>
      <c r="TST69"/>
      <c r="TSU69" s="148"/>
      <c r="TSV69"/>
      <c r="TSW69" s="140"/>
      <c r="TSX69" s="149"/>
      <c r="TSY69"/>
      <c r="TSZ69" s="142"/>
      <c r="TTA69" s="143"/>
      <c r="TTB69" s="144"/>
      <c r="TTC69" s="144"/>
      <c r="TTD69" s="143"/>
      <c r="TTE69" s="145"/>
      <c r="TTF69" s="143"/>
      <c r="TTG69" s="145"/>
      <c r="TTH69" s="146"/>
      <c r="TTI69" s="147"/>
      <c r="TTJ69"/>
      <c r="TTK69" s="148"/>
      <c r="TTL69"/>
      <c r="TTM69" s="140"/>
      <c r="TTN69" s="149"/>
      <c r="TTO69"/>
      <c r="TTP69" s="142"/>
      <c r="TTQ69" s="143"/>
      <c r="TTR69" s="144"/>
      <c r="TTS69" s="144"/>
      <c r="TTT69" s="143"/>
      <c r="TTU69" s="145"/>
      <c r="TTV69" s="143"/>
      <c r="TTW69" s="145"/>
      <c r="TTX69" s="146"/>
      <c r="TTY69" s="147"/>
      <c r="TTZ69"/>
      <c r="TUA69" s="148"/>
      <c r="TUB69"/>
      <c r="TUC69" s="140"/>
      <c r="TUD69" s="149"/>
      <c r="TUE69"/>
      <c r="TUF69" s="142"/>
      <c r="TUG69" s="143"/>
      <c r="TUH69" s="144"/>
      <c r="TUI69" s="144"/>
      <c r="TUJ69" s="143"/>
      <c r="TUK69" s="145"/>
      <c r="TUL69" s="143"/>
      <c r="TUM69" s="145"/>
      <c r="TUN69" s="146"/>
      <c r="TUO69" s="147"/>
      <c r="TUP69"/>
      <c r="TUQ69" s="148"/>
      <c r="TUR69"/>
      <c r="TUS69" s="140"/>
      <c r="TUT69" s="149"/>
      <c r="TUU69"/>
      <c r="TUV69" s="142"/>
      <c r="TUW69" s="143"/>
      <c r="TUX69" s="144"/>
      <c r="TUY69" s="144"/>
      <c r="TUZ69" s="143"/>
      <c r="TVA69" s="145"/>
      <c r="TVB69" s="143"/>
      <c r="TVC69" s="145"/>
      <c r="TVD69" s="146"/>
      <c r="TVE69" s="147"/>
      <c r="TVF69"/>
      <c r="TVG69" s="148"/>
      <c r="TVH69"/>
      <c r="TVI69" s="140"/>
      <c r="TVJ69" s="149"/>
      <c r="TVK69"/>
      <c r="TVL69" s="142"/>
      <c r="TVM69" s="143"/>
      <c r="TVN69" s="144"/>
      <c r="TVO69" s="144"/>
      <c r="TVP69" s="143"/>
      <c r="TVQ69" s="145"/>
      <c r="TVR69" s="143"/>
      <c r="TVS69" s="145"/>
      <c r="TVT69" s="146"/>
      <c r="TVU69" s="147"/>
      <c r="TVV69"/>
      <c r="TVW69" s="148"/>
      <c r="TVX69"/>
      <c r="TVY69" s="140"/>
      <c r="TVZ69" s="149"/>
      <c r="TWA69"/>
      <c r="TWB69" s="142"/>
      <c r="TWC69" s="143"/>
      <c r="TWD69" s="144"/>
      <c r="TWE69" s="144"/>
      <c r="TWF69" s="143"/>
      <c r="TWG69" s="145"/>
      <c r="TWH69" s="143"/>
      <c r="TWI69" s="145"/>
      <c r="TWJ69" s="146"/>
      <c r="TWK69" s="147"/>
      <c r="TWL69"/>
      <c r="TWM69" s="148"/>
      <c r="TWN69"/>
      <c r="TWO69" s="140"/>
      <c r="TWP69" s="149"/>
      <c r="TWQ69"/>
      <c r="TWR69" s="142"/>
      <c r="TWS69" s="143"/>
      <c r="TWT69" s="144"/>
      <c r="TWU69" s="144"/>
      <c r="TWV69" s="143"/>
      <c r="TWW69" s="145"/>
      <c r="TWX69" s="143"/>
      <c r="TWY69" s="145"/>
      <c r="TWZ69" s="146"/>
      <c r="TXA69" s="147"/>
      <c r="TXB69"/>
      <c r="TXC69" s="148"/>
      <c r="TXD69"/>
      <c r="TXE69" s="140"/>
      <c r="TXF69" s="149"/>
      <c r="TXG69"/>
      <c r="TXH69" s="142"/>
      <c r="TXI69" s="143"/>
      <c r="TXJ69" s="144"/>
      <c r="TXK69" s="144"/>
      <c r="TXL69" s="143"/>
      <c r="TXM69" s="145"/>
      <c r="TXN69" s="143"/>
      <c r="TXO69" s="145"/>
      <c r="TXP69" s="146"/>
      <c r="TXQ69" s="147"/>
      <c r="TXR69"/>
      <c r="TXS69" s="148"/>
      <c r="TXT69"/>
      <c r="TXU69" s="140"/>
      <c r="TXV69" s="149"/>
      <c r="TXW69"/>
      <c r="TXX69" s="142"/>
      <c r="TXY69" s="143"/>
      <c r="TXZ69" s="144"/>
      <c r="TYA69" s="144"/>
      <c r="TYB69" s="143"/>
      <c r="TYC69" s="145"/>
      <c r="TYD69" s="143"/>
      <c r="TYE69" s="145"/>
      <c r="TYF69" s="146"/>
      <c r="TYG69" s="147"/>
      <c r="TYH69"/>
      <c r="TYI69" s="148"/>
      <c r="TYJ69"/>
      <c r="TYK69" s="140"/>
      <c r="TYL69" s="149"/>
      <c r="TYM69"/>
      <c r="TYN69" s="142"/>
      <c r="TYO69" s="143"/>
      <c r="TYP69" s="144"/>
      <c r="TYQ69" s="144"/>
      <c r="TYR69" s="143"/>
      <c r="TYS69" s="145"/>
      <c r="TYT69" s="143"/>
      <c r="TYU69" s="145"/>
      <c r="TYV69" s="146"/>
      <c r="TYW69" s="147"/>
      <c r="TYX69"/>
      <c r="TYY69" s="148"/>
      <c r="TYZ69"/>
      <c r="TZA69" s="140"/>
      <c r="TZB69" s="149"/>
      <c r="TZC69"/>
      <c r="TZD69" s="142"/>
      <c r="TZE69" s="143"/>
      <c r="TZF69" s="144"/>
      <c r="TZG69" s="144"/>
      <c r="TZH69" s="143"/>
      <c r="TZI69" s="145"/>
      <c r="TZJ69" s="143"/>
      <c r="TZK69" s="145"/>
      <c r="TZL69" s="146"/>
      <c r="TZM69" s="147"/>
      <c r="TZN69"/>
      <c r="TZO69" s="148"/>
      <c r="TZP69"/>
      <c r="TZQ69" s="140"/>
      <c r="TZR69" s="149"/>
      <c r="TZS69"/>
      <c r="TZT69" s="142"/>
      <c r="TZU69" s="143"/>
      <c r="TZV69" s="144"/>
      <c r="TZW69" s="144"/>
      <c r="TZX69" s="143"/>
      <c r="TZY69" s="145"/>
      <c r="TZZ69" s="143"/>
      <c r="UAA69" s="145"/>
      <c r="UAB69" s="146"/>
      <c r="UAC69" s="147"/>
      <c r="UAD69"/>
      <c r="UAE69" s="148"/>
      <c r="UAF69"/>
      <c r="UAG69" s="140"/>
      <c r="UAH69" s="149"/>
      <c r="UAI69"/>
      <c r="UAJ69" s="142"/>
      <c r="UAK69" s="143"/>
      <c r="UAL69" s="144"/>
      <c r="UAM69" s="144"/>
      <c r="UAN69" s="143"/>
      <c r="UAO69" s="145"/>
      <c r="UAP69" s="143"/>
      <c r="UAQ69" s="145"/>
      <c r="UAR69" s="146"/>
      <c r="UAS69" s="147"/>
      <c r="UAT69"/>
      <c r="UAU69" s="148"/>
      <c r="UAV69"/>
      <c r="UAW69" s="140"/>
      <c r="UAX69" s="149"/>
      <c r="UAY69"/>
      <c r="UAZ69" s="142"/>
      <c r="UBA69" s="143"/>
      <c r="UBB69" s="144"/>
      <c r="UBC69" s="144"/>
      <c r="UBD69" s="143"/>
      <c r="UBE69" s="145"/>
      <c r="UBF69" s="143"/>
      <c r="UBG69" s="145"/>
      <c r="UBH69" s="146"/>
      <c r="UBI69" s="147"/>
      <c r="UBJ69"/>
      <c r="UBK69" s="148"/>
      <c r="UBL69"/>
      <c r="UBM69" s="140"/>
      <c r="UBN69" s="149"/>
      <c r="UBO69"/>
      <c r="UBP69" s="142"/>
      <c r="UBQ69" s="143"/>
      <c r="UBR69" s="144"/>
      <c r="UBS69" s="144"/>
      <c r="UBT69" s="143"/>
      <c r="UBU69" s="145"/>
      <c r="UBV69" s="143"/>
      <c r="UBW69" s="145"/>
      <c r="UBX69" s="146"/>
      <c r="UBY69" s="147"/>
      <c r="UBZ69"/>
      <c r="UCA69" s="148"/>
      <c r="UCB69"/>
      <c r="UCC69" s="140"/>
      <c r="UCD69" s="149"/>
      <c r="UCE69"/>
      <c r="UCF69" s="142"/>
      <c r="UCG69" s="143"/>
      <c r="UCH69" s="144"/>
      <c r="UCI69" s="144"/>
      <c r="UCJ69" s="143"/>
      <c r="UCK69" s="145"/>
      <c r="UCL69" s="143"/>
      <c r="UCM69" s="145"/>
      <c r="UCN69" s="146"/>
      <c r="UCO69" s="147"/>
      <c r="UCP69"/>
      <c r="UCQ69" s="148"/>
      <c r="UCR69"/>
      <c r="UCS69" s="140"/>
      <c r="UCT69" s="149"/>
      <c r="UCU69"/>
      <c r="UCV69" s="142"/>
      <c r="UCW69" s="143"/>
      <c r="UCX69" s="144"/>
      <c r="UCY69" s="144"/>
      <c r="UCZ69" s="143"/>
      <c r="UDA69" s="145"/>
      <c r="UDB69" s="143"/>
      <c r="UDC69" s="145"/>
      <c r="UDD69" s="146"/>
      <c r="UDE69" s="147"/>
      <c r="UDF69"/>
      <c r="UDG69" s="148"/>
      <c r="UDH69"/>
      <c r="UDI69" s="140"/>
      <c r="UDJ69" s="149"/>
      <c r="UDK69"/>
      <c r="UDL69" s="142"/>
      <c r="UDM69" s="143"/>
      <c r="UDN69" s="144"/>
      <c r="UDO69" s="144"/>
      <c r="UDP69" s="143"/>
      <c r="UDQ69" s="145"/>
      <c r="UDR69" s="143"/>
      <c r="UDS69" s="145"/>
      <c r="UDT69" s="146"/>
      <c r="UDU69" s="147"/>
      <c r="UDV69"/>
      <c r="UDW69" s="148"/>
      <c r="UDX69"/>
      <c r="UDY69" s="140"/>
      <c r="UDZ69" s="149"/>
      <c r="UEA69"/>
      <c r="UEB69" s="142"/>
      <c r="UEC69" s="143"/>
      <c r="UED69" s="144"/>
      <c r="UEE69" s="144"/>
      <c r="UEF69" s="143"/>
      <c r="UEG69" s="145"/>
      <c r="UEH69" s="143"/>
      <c r="UEI69" s="145"/>
      <c r="UEJ69" s="146"/>
      <c r="UEK69" s="147"/>
      <c r="UEL69"/>
      <c r="UEM69" s="148"/>
      <c r="UEN69"/>
      <c r="UEO69" s="140"/>
      <c r="UEP69" s="149"/>
      <c r="UEQ69"/>
      <c r="UER69" s="142"/>
      <c r="UES69" s="143"/>
      <c r="UET69" s="144"/>
      <c r="UEU69" s="144"/>
      <c r="UEV69" s="143"/>
      <c r="UEW69" s="145"/>
      <c r="UEX69" s="143"/>
      <c r="UEY69" s="145"/>
      <c r="UEZ69" s="146"/>
      <c r="UFA69" s="147"/>
      <c r="UFB69"/>
      <c r="UFC69" s="148"/>
      <c r="UFD69"/>
      <c r="UFE69" s="140"/>
      <c r="UFF69" s="149"/>
      <c r="UFG69"/>
      <c r="UFH69" s="142"/>
      <c r="UFI69" s="143"/>
      <c r="UFJ69" s="144"/>
      <c r="UFK69" s="144"/>
      <c r="UFL69" s="143"/>
      <c r="UFM69" s="145"/>
      <c r="UFN69" s="143"/>
      <c r="UFO69" s="145"/>
      <c r="UFP69" s="146"/>
      <c r="UFQ69" s="147"/>
      <c r="UFR69"/>
      <c r="UFS69" s="148"/>
      <c r="UFT69"/>
      <c r="UFU69" s="140"/>
      <c r="UFV69" s="149"/>
      <c r="UFW69"/>
      <c r="UFX69" s="142"/>
      <c r="UFY69" s="143"/>
      <c r="UFZ69" s="144"/>
      <c r="UGA69" s="144"/>
      <c r="UGB69" s="143"/>
      <c r="UGC69" s="145"/>
      <c r="UGD69" s="143"/>
      <c r="UGE69" s="145"/>
      <c r="UGF69" s="146"/>
      <c r="UGG69" s="147"/>
      <c r="UGH69"/>
      <c r="UGI69" s="148"/>
      <c r="UGJ69"/>
      <c r="UGK69" s="140"/>
      <c r="UGL69" s="149"/>
      <c r="UGM69"/>
      <c r="UGN69" s="142"/>
      <c r="UGO69" s="143"/>
      <c r="UGP69" s="144"/>
      <c r="UGQ69" s="144"/>
      <c r="UGR69" s="143"/>
      <c r="UGS69" s="145"/>
      <c r="UGT69" s="143"/>
      <c r="UGU69" s="145"/>
      <c r="UGV69" s="146"/>
      <c r="UGW69" s="147"/>
      <c r="UGX69"/>
      <c r="UGY69" s="148"/>
      <c r="UGZ69"/>
      <c r="UHA69" s="140"/>
      <c r="UHB69" s="149"/>
      <c r="UHC69"/>
      <c r="UHD69" s="142"/>
      <c r="UHE69" s="143"/>
      <c r="UHF69" s="144"/>
      <c r="UHG69" s="144"/>
      <c r="UHH69" s="143"/>
      <c r="UHI69" s="145"/>
      <c r="UHJ69" s="143"/>
      <c r="UHK69" s="145"/>
      <c r="UHL69" s="146"/>
      <c r="UHM69" s="147"/>
      <c r="UHN69"/>
      <c r="UHO69" s="148"/>
      <c r="UHP69"/>
      <c r="UHQ69" s="140"/>
      <c r="UHR69" s="149"/>
      <c r="UHS69"/>
      <c r="UHT69" s="142"/>
      <c r="UHU69" s="143"/>
      <c r="UHV69" s="144"/>
      <c r="UHW69" s="144"/>
      <c r="UHX69" s="143"/>
      <c r="UHY69" s="145"/>
      <c r="UHZ69" s="143"/>
      <c r="UIA69" s="145"/>
      <c r="UIB69" s="146"/>
      <c r="UIC69" s="147"/>
      <c r="UID69"/>
      <c r="UIE69" s="148"/>
      <c r="UIF69"/>
      <c r="UIG69" s="140"/>
      <c r="UIH69" s="149"/>
      <c r="UII69"/>
      <c r="UIJ69" s="142"/>
      <c r="UIK69" s="143"/>
      <c r="UIL69" s="144"/>
      <c r="UIM69" s="144"/>
      <c r="UIN69" s="143"/>
      <c r="UIO69" s="145"/>
      <c r="UIP69" s="143"/>
      <c r="UIQ69" s="145"/>
      <c r="UIR69" s="146"/>
      <c r="UIS69" s="147"/>
      <c r="UIT69"/>
      <c r="UIU69" s="148"/>
      <c r="UIV69"/>
      <c r="UIW69" s="140"/>
      <c r="UIX69" s="149"/>
      <c r="UIY69"/>
      <c r="UIZ69" s="142"/>
      <c r="UJA69" s="143"/>
      <c r="UJB69" s="144"/>
      <c r="UJC69" s="144"/>
      <c r="UJD69" s="143"/>
      <c r="UJE69" s="145"/>
      <c r="UJF69" s="143"/>
      <c r="UJG69" s="145"/>
      <c r="UJH69" s="146"/>
      <c r="UJI69" s="147"/>
      <c r="UJJ69"/>
      <c r="UJK69" s="148"/>
      <c r="UJL69"/>
      <c r="UJM69" s="140"/>
      <c r="UJN69" s="149"/>
      <c r="UJO69"/>
      <c r="UJP69" s="142"/>
      <c r="UJQ69" s="143"/>
      <c r="UJR69" s="144"/>
      <c r="UJS69" s="144"/>
      <c r="UJT69" s="143"/>
      <c r="UJU69" s="145"/>
      <c r="UJV69" s="143"/>
      <c r="UJW69" s="145"/>
      <c r="UJX69" s="146"/>
      <c r="UJY69" s="147"/>
      <c r="UJZ69"/>
      <c r="UKA69" s="148"/>
      <c r="UKB69"/>
      <c r="UKC69" s="140"/>
      <c r="UKD69" s="149"/>
      <c r="UKE69"/>
      <c r="UKF69" s="142"/>
      <c r="UKG69" s="143"/>
      <c r="UKH69" s="144"/>
      <c r="UKI69" s="144"/>
      <c r="UKJ69" s="143"/>
      <c r="UKK69" s="145"/>
      <c r="UKL69" s="143"/>
      <c r="UKM69" s="145"/>
      <c r="UKN69" s="146"/>
      <c r="UKO69" s="147"/>
      <c r="UKP69"/>
      <c r="UKQ69" s="148"/>
      <c r="UKR69"/>
      <c r="UKS69" s="140"/>
      <c r="UKT69" s="149"/>
      <c r="UKU69"/>
      <c r="UKV69" s="142"/>
      <c r="UKW69" s="143"/>
      <c r="UKX69" s="144"/>
      <c r="UKY69" s="144"/>
      <c r="UKZ69" s="143"/>
      <c r="ULA69" s="145"/>
      <c r="ULB69" s="143"/>
      <c r="ULC69" s="145"/>
      <c r="ULD69" s="146"/>
      <c r="ULE69" s="147"/>
      <c r="ULF69"/>
      <c r="ULG69" s="148"/>
      <c r="ULH69"/>
      <c r="ULI69" s="140"/>
      <c r="ULJ69" s="149"/>
      <c r="ULK69"/>
      <c r="ULL69" s="142"/>
      <c r="ULM69" s="143"/>
      <c r="ULN69" s="144"/>
      <c r="ULO69" s="144"/>
      <c r="ULP69" s="143"/>
      <c r="ULQ69" s="145"/>
      <c r="ULR69" s="143"/>
      <c r="ULS69" s="145"/>
      <c r="ULT69" s="146"/>
      <c r="ULU69" s="147"/>
      <c r="ULV69"/>
      <c r="ULW69" s="148"/>
      <c r="ULX69"/>
      <c r="ULY69" s="140"/>
      <c r="ULZ69" s="149"/>
      <c r="UMA69"/>
      <c r="UMB69" s="142"/>
      <c r="UMC69" s="143"/>
      <c r="UMD69" s="144"/>
      <c r="UME69" s="144"/>
      <c r="UMF69" s="143"/>
      <c r="UMG69" s="145"/>
      <c r="UMH69" s="143"/>
      <c r="UMI69" s="145"/>
      <c r="UMJ69" s="146"/>
      <c r="UMK69" s="147"/>
      <c r="UML69"/>
      <c r="UMM69" s="148"/>
      <c r="UMN69"/>
      <c r="UMO69" s="140"/>
      <c r="UMP69" s="149"/>
      <c r="UMQ69"/>
      <c r="UMR69" s="142"/>
      <c r="UMS69" s="143"/>
      <c r="UMT69" s="144"/>
      <c r="UMU69" s="144"/>
      <c r="UMV69" s="143"/>
      <c r="UMW69" s="145"/>
      <c r="UMX69" s="143"/>
      <c r="UMY69" s="145"/>
      <c r="UMZ69" s="146"/>
      <c r="UNA69" s="147"/>
      <c r="UNB69"/>
      <c r="UNC69" s="148"/>
      <c r="UND69"/>
      <c r="UNE69" s="140"/>
      <c r="UNF69" s="149"/>
      <c r="UNG69"/>
      <c r="UNH69" s="142"/>
      <c r="UNI69" s="143"/>
      <c r="UNJ69" s="144"/>
      <c r="UNK69" s="144"/>
      <c r="UNL69" s="143"/>
      <c r="UNM69" s="145"/>
      <c r="UNN69" s="143"/>
      <c r="UNO69" s="145"/>
      <c r="UNP69" s="146"/>
      <c r="UNQ69" s="147"/>
      <c r="UNR69"/>
      <c r="UNS69" s="148"/>
      <c r="UNT69"/>
      <c r="UNU69" s="140"/>
      <c r="UNV69" s="149"/>
      <c r="UNW69"/>
      <c r="UNX69" s="142"/>
      <c r="UNY69" s="143"/>
      <c r="UNZ69" s="144"/>
      <c r="UOA69" s="144"/>
      <c r="UOB69" s="143"/>
      <c r="UOC69" s="145"/>
      <c r="UOD69" s="143"/>
      <c r="UOE69" s="145"/>
      <c r="UOF69" s="146"/>
      <c r="UOG69" s="147"/>
      <c r="UOH69"/>
      <c r="UOI69" s="148"/>
      <c r="UOJ69"/>
      <c r="UOK69" s="140"/>
      <c r="UOL69" s="149"/>
      <c r="UOM69"/>
      <c r="UON69" s="142"/>
      <c r="UOO69" s="143"/>
      <c r="UOP69" s="144"/>
      <c r="UOQ69" s="144"/>
      <c r="UOR69" s="143"/>
      <c r="UOS69" s="145"/>
      <c r="UOT69" s="143"/>
      <c r="UOU69" s="145"/>
      <c r="UOV69" s="146"/>
      <c r="UOW69" s="147"/>
      <c r="UOX69"/>
      <c r="UOY69" s="148"/>
      <c r="UOZ69"/>
      <c r="UPA69" s="140"/>
      <c r="UPB69" s="149"/>
      <c r="UPC69"/>
      <c r="UPD69" s="142"/>
      <c r="UPE69" s="143"/>
      <c r="UPF69" s="144"/>
      <c r="UPG69" s="144"/>
      <c r="UPH69" s="143"/>
      <c r="UPI69" s="145"/>
      <c r="UPJ69" s="143"/>
      <c r="UPK69" s="145"/>
      <c r="UPL69" s="146"/>
      <c r="UPM69" s="147"/>
      <c r="UPN69"/>
      <c r="UPO69" s="148"/>
      <c r="UPP69"/>
      <c r="UPQ69" s="140"/>
      <c r="UPR69" s="149"/>
      <c r="UPS69"/>
      <c r="UPT69" s="142"/>
      <c r="UPU69" s="143"/>
      <c r="UPV69" s="144"/>
      <c r="UPW69" s="144"/>
      <c r="UPX69" s="143"/>
      <c r="UPY69" s="145"/>
      <c r="UPZ69" s="143"/>
      <c r="UQA69" s="145"/>
      <c r="UQB69" s="146"/>
      <c r="UQC69" s="147"/>
      <c r="UQD69"/>
      <c r="UQE69" s="148"/>
      <c r="UQF69"/>
      <c r="UQG69" s="140"/>
      <c r="UQH69" s="149"/>
      <c r="UQI69"/>
      <c r="UQJ69" s="142"/>
      <c r="UQK69" s="143"/>
      <c r="UQL69" s="144"/>
      <c r="UQM69" s="144"/>
      <c r="UQN69" s="143"/>
      <c r="UQO69" s="145"/>
      <c r="UQP69" s="143"/>
      <c r="UQQ69" s="145"/>
      <c r="UQR69" s="146"/>
      <c r="UQS69" s="147"/>
      <c r="UQT69"/>
      <c r="UQU69" s="148"/>
      <c r="UQV69"/>
      <c r="UQW69" s="140"/>
      <c r="UQX69" s="149"/>
      <c r="UQY69"/>
      <c r="UQZ69" s="142"/>
      <c r="URA69" s="143"/>
      <c r="URB69" s="144"/>
      <c r="URC69" s="144"/>
      <c r="URD69" s="143"/>
      <c r="URE69" s="145"/>
      <c r="URF69" s="143"/>
      <c r="URG69" s="145"/>
      <c r="URH69" s="146"/>
      <c r="URI69" s="147"/>
      <c r="URJ69"/>
      <c r="URK69" s="148"/>
      <c r="URL69"/>
      <c r="URM69" s="140"/>
      <c r="URN69" s="149"/>
      <c r="URO69"/>
      <c r="URP69" s="142"/>
      <c r="URQ69" s="143"/>
      <c r="URR69" s="144"/>
      <c r="URS69" s="144"/>
      <c r="URT69" s="143"/>
      <c r="URU69" s="145"/>
      <c r="URV69" s="143"/>
      <c r="URW69" s="145"/>
      <c r="URX69" s="146"/>
      <c r="URY69" s="147"/>
      <c r="URZ69"/>
      <c r="USA69" s="148"/>
      <c r="USB69"/>
      <c r="USC69" s="140"/>
      <c r="USD69" s="149"/>
      <c r="USE69"/>
      <c r="USF69" s="142"/>
      <c r="USG69" s="143"/>
      <c r="USH69" s="144"/>
      <c r="USI69" s="144"/>
      <c r="USJ69" s="143"/>
      <c r="USK69" s="145"/>
      <c r="USL69" s="143"/>
      <c r="USM69" s="145"/>
      <c r="USN69" s="146"/>
      <c r="USO69" s="147"/>
      <c r="USP69"/>
      <c r="USQ69" s="148"/>
      <c r="USR69"/>
      <c r="USS69" s="140"/>
      <c r="UST69" s="149"/>
      <c r="USU69"/>
      <c r="USV69" s="142"/>
      <c r="USW69" s="143"/>
      <c r="USX69" s="144"/>
      <c r="USY69" s="144"/>
      <c r="USZ69" s="143"/>
      <c r="UTA69" s="145"/>
      <c r="UTB69" s="143"/>
      <c r="UTC69" s="145"/>
      <c r="UTD69" s="146"/>
      <c r="UTE69" s="147"/>
      <c r="UTF69"/>
      <c r="UTG69" s="148"/>
      <c r="UTH69"/>
      <c r="UTI69" s="140"/>
      <c r="UTJ69" s="149"/>
      <c r="UTK69"/>
      <c r="UTL69" s="142"/>
      <c r="UTM69" s="143"/>
      <c r="UTN69" s="144"/>
      <c r="UTO69" s="144"/>
      <c r="UTP69" s="143"/>
      <c r="UTQ69" s="145"/>
      <c r="UTR69" s="143"/>
      <c r="UTS69" s="145"/>
      <c r="UTT69" s="146"/>
      <c r="UTU69" s="147"/>
      <c r="UTV69"/>
      <c r="UTW69" s="148"/>
      <c r="UTX69"/>
      <c r="UTY69" s="140"/>
      <c r="UTZ69" s="149"/>
      <c r="UUA69"/>
      <c r="UUB69" s="142"/>
      <c r="UUC69" s="143"/>
      <c r="UUD69" s="144"/>
      <c r="UUE69" s="144"/>
      <c r="UUF69" s="143"/>
      <c r="UUG69" s="145"/>
      <c r="UUH69" s="143"/>
      <c r="UUI69" s="145"/>
      <c r="UUJ69" s="146"/>
      <c r="UUK69" s="147"/>
      <c r="UUL69"/>
      <c r="UUM69" s="148"/>
      <c r="UUN69"/>
      <c r="UUO69" s="140"/>
      <c r="UUP69" s="149"/>
      <c r="UUQ69"/>
      <c r="UUR69" s="142"/>
      <c r="UUS69" s="143"/>
      <c r="UUT69" s="144"/>
      <c r="UUU69" s="144"/>
      <c r="UUV69" s="143"/>
      <c r="UUW69" s="145"/>
      <c r="UUX69" s="143"/>
      <c r="UUY69" s="145"/>
      <c r="UUZ69" s="146"/>
      <c r="UVA69" s="147"/>
      <c r="UVB69"/>
      <c r="UVC69" s="148"/>
      <c r="UVD69"/>
      <c r="UVE69" s="140"/>
      <c r="UVF69" s="149"/>
      <c r="UVG69"/>
      <c r="UVH69" s="142"/>
      <c r="UVI69" s="143"/>
      <c r="UVJ69" s="144"/>
      <c r="UVK69" s="144"/>
      <c r="UVL69" s="143"/>
      <c r="UVM69" s="145"/>
      <c r="UVN69" s="143"/>
      <c r="UVO69" s="145"/>
      <c r="UVP69" s="146"/>
      <c r="UVQ69" s="147"/>
      <c r="UVR69"/>
      <c r="UVS69" s="148"/>
      <c r="UVT69"/>
      <c r="UVU69" s="140"/>
      <c r="UVV69" s="149"/>
      <c r="UVW69"/>
      <c r="UVX69" s="142"/>
      <c r="UVY69" s="143"/>
      <c r="UVZ69" s="144"/>
      <c r="UWA69" s="144"/>
      <c r="UWB69" s="143"/>
      <c r="UWC69" s="145"/>
      <c r="UWD69" s="143"/>
      <c r="UWE69" s="145"/>
      <c r="UWF69" s="146"/>
      <c r="UWG69" s="147"/>
      <c r="UWH69"/>
      <c r="UWI69" s="148"/>
      <c r="UWJ69"/>
      <c r="UWK69" s="140"/>
      <c r="UWL69" s="149"/>
      <c r="UWM69"/>
      <c r="UWN69" s="142"/>
      <c r="UWO69" s="143"/>
      <c r="UWP69" s="144"/>
      <c r="UWQ69" s="144"/>
      <c r="UWR69" s="143"/>
      <c r="UWS69" s="145"/>
      <c r="UWT69" s="143"/>
      <c r="UWU69" s="145"/>
      <c r="UWV69" s="146"/>
      <c r="UWW69" s="147"/>
      <c r="UWX69"/>
      <c r="UWY69" s="148"/>
      <c r="UWZ69"/>
      <c r="UXA69" s="140"/>
      <c r="UXB69" s="149"/>
      <c r="UXC69"/>
      <c r="UXD69" s="142"/>
      <c r="UXE69" s="143"/>
      <c r="UXF69" s="144"/>
      <c r="UXG69" s="144"/>
      <c r="UXH69" s="143"/>
      <c r="UXI69" s="145"/>
      <c r="UXJ69" s="143"/>
      <c r="UXK69" s="145"/>
      <c r="UXL69" s="146"/>
      <c r="UXM69" s="147"/>
      <c r="UXN69"/>
      <c r="UXO69" s="148"/>
      <c r="UXP69"/>
      <c r="UXQ69" s="140"/>
      <c r="UXR69" s="149"/>
      <c r="UXS69"/>
      <c r="UXT69" s="142"/>
      <c r="UXU69" s="143"/>
      <c r="UXV69" s="144"/>
      <c r="UXW69" s="144"/>
      <c r="UXX69" s="143"/>
      <c r="UXY69" s="145"/>
      <c r="UXZ69" s="143"/>
      <c r="UYA69" s="145"/>
      <c r="UYB69" s="146"/>
      <c r="UYC69" s="147"/>
      <c r="UYD69"/>
      <c r="UYE69" s="148"/>
      <c r="UYF69"/>
      <c r="UYG69" s="140"/>
      <c r="UYH69" s="149"/>
      <c r="UYI69"/>
      <c r="UYJ69" s="142"/>
      <c r="UYK69" s="143"/>
      <c r="UYL69" s="144"/>
      <c r="UYM69" s="144"/>
      <c r="UYN69" s="143"/>
      <c r="UYO69" s="145"/>
      <c r="UYP69" s="143"/>
      <c r="UYQ69" s="145"/>
      <c r="UYR69" s="146"/>
      <c r="UYS69" s="147"/>
      <c r="UYT69"/>
      <c r="UYU69" s="148"/>
      <c r="UYV69"/>
      <c r="UYW69" s="140"/>
      <c r="UYX69" s="149"/>
      <c r="UYY69"/>
      <c r="UYZ69" s="142"/>
      <c r="UZA69" s="143"/>
      <c r="UZB69" s="144"/>
      <c r="UZC69" s="144"/>
      <c r="UZD69" s="143"/>
      <c r="UZE69" s="145"/>
      <c r="UZF69" s="143"/>
      <c r="UZG69" s="145"/>
      <c r="UZH69" s="146"/>
      <c r="UZI69" s="147"/>
      <c r="UZJ69"/>
      <c r="UZK69" s="148"/>
      <c r="UZL69"/>
      <c r="UZM69" s="140"/>
      <c r="UZN69" s="149"/>
      <c r="UZO69"/>
      <c r="UZP69" s="142"/>
      <c r="UZQ69" s="143"/>
      <c r="UZR69" s="144"/>
      <c r="UZS69" s="144"/>
      <c r="UZT69" s="143"/>
      <c r="UZU69" s="145"/>
      <c r="UZV69" s="143"/>
      <c r="UZW69" s="145"/>
      <c r="UZX69" s="146"/>
      <c r="UZY69" s="147"/>
      <c r="UZZ69"/>
      <c r="VAA69" s="148"/>
      <c r="VAB69"/>
      <c r="VAC69" s="140"/>
      <c r="VAD69" s="149"/>
      <c r="VAE69"/>
      <c r="VAF69" s="142"/>
      <c r="VAG69" s="143"/>
      <c r="VAH69" s="144"/>
      <c r="VAI69" s="144"/>
      <c r="VAJ69" s="143"/>
      <c r="VAK69" s="145"/>
      <c r="VAL69" s="143"/>
      <c r="VAM69" s="145"/>
      <c r="VAN69" s="146"/>
      <c r="VAO69" s="147"/>
      <c r="VAP69"/>
      <c r="VAQ69" s="148"/>
      <c r="VAR69"/>
      <c r="VAS69" s="140"/>
      <c r="VAT69" s="149"/>
      <c r="VAU69"/>
      <c r="VAV69" s="142"/>
      <c r="VAW69" s="143"/>
      <c r="VAX69" s="144"/>
      <c r="VAY69" s="144"/>
      <c r="VAZ69" s="143"/>
      <c r="VBA69" s="145"/>
      <c r="VBB69" s="143"/>
      <c r="VBC69" s="145"/>
      <c r="VBD69" s="146"/>
      <c r="VBE69" s="147"/>
      <c r="VBF69"/>
      <c r="VBG69" s="148"/>
      <c r="VBH69"/>
      <c r="VBI69" s="140"/>
      <c r="VBJ69" s="149"/>
      <c r="VBK69"/>
      <c r="VBL69" s="142"/>
      <c r="VBM69" s="143"/>
      <c r="VBN69" s="144"/>
      <c r="VBO69" s="144"/>
      <c r="VBP69" s="143"/>
      <c r="VBQ69" s="145"/>
      <c r="VBR69" s="143"/>
      <c r="VBS69" s="145"/>
      <c r="VBT69" s="146"/>
      <c r="VBU69" s="147"/>
      <c r="VBV69"/>
      <c r="VBW69" s="148"/>
      <c r="VBX69"/>
      <c r="VBY69" s="140"/>
      <c r="VBZ69" s="149"/>
      <c r="VCA69"/>
      <c r="VCB69" s="142"/>
      <c r="VCC69" s="143"/>
      <c r="VCD69" s="144"/>
      <c r="VCE69" s="144"/>
      <c r="VCF69" s="143"/>
      <c r="VCG69" s="145"/>
      <c r="VCH69" s="143"/>
      <c r="VCI69" s="145"/>
      <c r="VCJ69" s="146"/>
      <c r="VCK69" s="147"/>
      <c r="VCL69"/>
      <c r="VCM69" s="148"/>
      <c r="VCN69"/>
      <c r="VCO69" s="140"/>
      <c r="VCP69" s="149"/>
      <c r="VCQ69"/>
      <c r="VCR69" s="142"/>
      <c r="VCS69" s="143"/>
      <c r="VCT69" s="144"/>
      <c r="VCU69" s="144"/>
      <c r="VCV69" s="143"/>
      <c r="VCW69" s="145"/>
      <c r="VCX69" s="143"/>
      <c r="VCY69" s="145"/>
      <c r="VCZ69" s="146"/>
      <c r="VDA69" s="147"/>
      <c r="VDB69"/>
      <c r="VDC69" s="148"/>
      <c r="VDD69"/>
      <c r="VDE69" s="140"/>
      <c r="VDF69" s="149"/>
      <c r="VDG69"/>
      <c r="VDH69" s="142"/>
      <c r="VDI69" s="143"/>
      <c r="VDJ69" s="144"/>
      <c r="VDK69" s="144"/>
      <c r="VDL69" s="143"/>
      <c r="VDM69" s="145"/>
      <c r="VDN69" s="143"/>
      <c r="VDO69" s="145"/>
      <c r="VDP69" s="146"/>
      <c r="VDQ69" s="147"/>
      <c r="VDR69"/>
      <c r="VDS69" s="148"/>
      <c r="VDT69"/>
      <c r="VDU69" s="140"/>
      <c r="VDV69" s="149"/>
      <c r="VDW69"/>
      <c r="VDX69" s="142"/>
      <c r="VDY69" s="143"/>
      <c r="VDZ69" s="144"/>
      <c r="VEA69" s="144"/>
      <c r="VEB69" s="143"/>
      <c r="VEC69" s="145"/>
      <c r="VED69" s="143"/>
      <c r="VEE69" s="145"/>
      <c r="VEF69" s="146"/>
      <c r="VEG69" s="147"/>
      <c r="VEH69"/>
      <c r="VEI69" s="148"/>
      <c r="VEJ69"/>
      <c r="VEK69" s="140"/>
      <c r="VEL69" s="149"/>
      <c r="VEM69"/>
      <c r="VEN69" s="142"/>
      <c r="VEO69" s="143"/>
      <c r="VEP69" s="144"/>
      <c r="VEQ69" s="144"/>
      <c r="VER69" s="143"/>
      <c r="VES69" s="145"/>
      <c r="VET69" s="143"/>
      <c r="VEU69" s="145"/>
      <c r="VEV69" s="146"/>
      <c r="VEW69" s="147"/>
      <c r="VEX69"/>
      <c r="VEY69" s="148"/>
      <c r="VEZ69"/>
      <c r="VFA69" s="140"/>
      <c r="VFB69" s="149"/>
      <c r="VFC69"/>
      <c r="VFD69" s="142"/>
      <c r="VFE69" s="143"/>
      <c r="VFF69" s="144"/>
      <c r="VFG69" s="144"/>
      <c r="VFH69" s="143"/>
      <c r="VFI69" s="145"/>
      <c r="VFJ69" s="143"/>
      <c r="VFK69" s="145"/>
      <c r="VFL69" s="146"/>
      <c r="VFM69" s="147"/>
      <c r="VFN69"/>
      <c r="VFO69" s="148"/>
      <c r="VFP69"/>
      <c r="VFQ69" s="140"/>
      <c r="VFR69" s="149"/>
      <c r="VFS69"/>
      <c r="VFT69" s="142"/>
      <c r="VFU69" s="143"/>
      <c r="VFV69" s="144"/>
      <c r="VFW69" s="144"/>
      <c r="VFX69" s="143"/>
      <c r="VFY69" s="145"/>
      <c r="VFZ69" s="143"/>
      <c r="VGA69" s="145"/>
      <c r="VGB69" s="146"/>
      <c r="VGC69" s="147"/>
      <c r="VGD69"/>
      <c r="VGE69" s="148"/>
      <c r="VGF69"/>
      <c r="VGG69" s="140"/>
      <c r="VGH69" s="149"/>
      <c r="VGI69"/>
      <c r="VGJ69" s="142"/>
      <c r="VGK69" s="143"/>
      <c r="VGL69" s="144"/>
      <c r="VGM69" s="144"/>
      <c r="VGN69" s="143"/>
      <c r="VGO69" s="145"/>
      <c r="VGP69" s="143"/>
      <c r="VGQ69" s="145"/>
      <c r="VGR69" s="146"/>
      <c r="VGS69" s="147"/>
      <c r="VGT69"/>
      <c r="VGU69" s="148"/>
      <c r="VGV69"/>
      <c r="VGW69" s="140"/>
      <c r="VGX69" s="149"/>
      <c r="VGY69"/>
      <c r="VGZ69" s="142"/>
      <c r="VHA69" s="143"/>
      <c r="VHB69" s="144"/>
      <c r="VHC69" s="144"/>
    </row>
    <row r="70" spans="2:63 3073:12199 12790:15083" ht="15" thickBot="1" x14ac:dyDescent="0.35">
      <c r="B70" s="324"/>
      <c r="C70" s="18" t="s">
        <v>130</v>
      </c>
      <c r="D70" s="129" t="s">
        <v>24</v>
      </c>
      <c r="E70" s="137">
        <f>CEILING((((9000+297+115)*1.12)- 85)-150,50)</f>
        <v>10350</v>
      </c>
      <c r="F70" s="137">
        <v>85</v>
      </c>
      <c r="G70" s="137">
        <v>215</v>
      </c>
      <c r="H70" s="137">
        <v>75</v>
      </c>
      <c r="I70" s="137">
        <v>150</v>
      </c>
      <c r="J70" s="137">
        <f t="shared" si="10"/>
        <v>10875</v>
      </c>
      <c r="K70" s="137">
        <v>200</v>
      </c>
      <c r="L70" s="208">
        <f t="shared" si="11"/>
        <v>11075</v>
      </c>
      <c r="M70" s="132" t="s">
        <v>113</v>
      </c>
      <c r="N70" s="180" t="s">
        <v>158</v>
      </c>
      <c r="O70" s="141" t="s">
        <v>41</v>
      </c>
      <c r="P70" s="116" t="s">
        <v>159</v>
      </c>
      <c r="Q70" s="79" t="s">
        <v>136</v>
      </c>
      <c r="R70"/>
      <c r="S70" s="142"/>
      <c r="T70" s="143"/>
      <c r="U70" s="144"/>
      <c r="V70" s="144"/>
      <c r="W70" s="143"/>
      <c r="X70" s="145"/>
      <c r="Y70" s="143"/>
      <c r="Z70" s="145"/>
      <c r="AA70" s="146"/>
      <c r="AB70" s="147"/>
      <c r="AC70"/>
      <c r="AD70" s="148"/>
      <c r="AE70"/>
      <c r="AF70" s="140"/>
      <c r="AG70" s="149"/>
      <c r="AH70"/>
      <c r="AI70" s="142"/>
      <c r="AJ70" s="143"/>
      <c r="AK70" s="144"/>
      <c r="AL70" s="144"/>
      <c r="AM70" s="143"/>
      <c r="AN70" s="145"/>
      <c r="AO70" s="143"/>
      <c r="AP70" s="145"/>
      <c r="AQ70" s="146"/>
      <c r="AR70" s="147"/>
      <c r="AS70"/>
      <c r="AT70" s="148"/>
      <c r="AU70"/>
      <c r="AV70" s="140"/>
      <c r="AW70" s="149"/>
      <c r="AX70"/>
      <c r="AY70" s="142"/>
      <c r="AZ70" s="143"/>
      <c r="BA70" s="144"/>
      <c r="BB70" s="144"/>
      <c r="BC70" s="143"/>
      <c r="BD70" s="145"/>
      <c r="BE70" s="143"/>
      <c r="BF70" s="145"/>
      <c r="BG70" s="146"/>
      <c r="BH70" s="147"/>
      <c r="BI70"/>
      <c r="BJ70" s="148"/>
      <c r="BK70"/>
      <c r="DNE70" s="147"/>
      <c r="DNF70"/>
      <c r="DNG70" s="148"/>
      <c r="DNH70"/>
      <c r="DNI70" s="140"/>
      <c r="DNJ70" s="149"/>
      <c r="DNK70"/>
      <c r="DNL70" s="142"/>
      <c r="DNM70" s="143"/>
      <c r="DNN70" s="144"/>
      <c r="DNO70" s="144"/>
      <c r="DNP70" s="143"/>
      <c r="DNQ70" s="145"/>
      <c r="DNR70" s="143"/>
      <c r="DNS70" s="145"/>
      <c r="DNT70" s="146"/>
      <c r="DNU70" s="147"/>
      <c r="DNV70"/>
      <c r="DNW70" s="148"/>
      <c r="DNX70"/>
      <c r="DNY70" s="140"/>
      <c r="DNZ70" s="149"/>
      <c r="DOA70"/>
      <c r="DOB70" s="142"/>
      <c r="DOC70" s="143"/>
      <c r="DOD70" s="144"/>
      <c r="DOE70" s="144"/>
      <c r="DOF70" s="143"/>
      <c r="DOG70" s="145"/>
      <c r="DOH70" s="143"/>
      <c r="DOI70" s="145"/>
      <c r="DOJ70" s="146"/>
      <c r="DOK70" s="147"/>
      <c r="DOL70"/>
      <c r="DOM70" s="148"/>
      <c r="DON70"/>
      <c r="DOO70" s="140"/>
      <c r="DOP70" s="149"/>
      <c r="DOQ70"/>
      <c r="DOR70" s="142"/>
      <c r="DOS70" s="143"/>
      <c r="DOT70" s="144"/>
      <c r="DOU70" s="144"/>
      <c r="DOV70" s="143"/>
      <c r="DOW70" s="145"/>
      <c r="DOX70" s="143"/>
      <c r="DOY70" s="145"/>
      <c r="DOZ70" s="146"/>
      <c r="DPA70" s="147"/>
      <c r="DPB70"/>
      <c r="DPC70" s="148"/>
      <c r="DPD70"/>
      <c r="DPE70" s="140"/>
      <c r="DPF70" s="149"/>
      <c r="DPG70"/>
      <c r="DPH70" s="142"/>
      <c r="DPI70" s="143"/>
      <c r="DPJ70" s="144"/>
      <c r="DPK70" s="144"/>
      <c r="DPL70" s="143"/>
      <c r="DPM70" s="145"/>
      <c r="DPN70" s="143"/>
      <c r="DPO70" s="145"/>
      <c r="DPP70" s="146"/>
      <c r="DPQ70" s="147"/>
      <c r="DPR70"/>
      <c r="DPS70" s="148"/>
      <c r="DPT70"/>
      <c r="DPU70" s="140"/>
      <c r="DPV70" s="149"/>
      <c r="DPW70"/>
      <c r="DPX70" s="142"/>
      <c r="DPY70" s="143"/>
      <c r="DPZ70" s="144"/>
      <c r="DQA70" s="144"/>
      <c r="DQB70" s="143"/>
      <c r="DQC70" s="145"/>
      <c r="DQD70" s="143"/>
      <c r="DQE70" s="145"/>
      <c r="DQF70" s="146"/>
      <c r="DQG70" s="147"/>
      <c r="DQH70"/>
      <c r="DQI70" s="148"/>
      <c r="DQJ70"/>
      <c r="DQK70" s="140"/>
      <c r="DQL70" s="149"/>
      <c r="DQM70"/>
      <c r="DQN70" s="142"/>
      <c r="DQO70" s="143"/>
      <c r="DQP70" s="144"/>
      <c r="DQQ70" s="144"/>
      <c r="DQR70" s="143"/>
      <c r="DQS70" s="145"/>
      <c r="DQT70" s="143"/>
      <c r="DQU70" s="145"/>
      <c r="DQV70" s="146"/>
      <c r="DQW70" s="147"/>
      <c r="DQX70"/>
      <c r="DQY70" s="148"/>
      <c r="DQZ70"/>
      <c r="DRA70" s="140"/>
      <c r="DRB70" s="149"/>
      <c r="DRC70"/>
      <c r="DRD70" s="142"/>
      <c r="DRE70" s="143"/>
      <c r="DRF70" s="144"/>
      <c r="DRG70" s="144"/>
      <c r="DRH70" s="143"/>
      <c r="DRI70" s="145"/>
      <c r="DRJ70" s="143"/>
      <c r="DRK70" s="145"/>
      <c r="DRL70" s="146"/>
      <c r="DRM70" s="147"/>
      <c r="DRN70"/>
      <c r="DRO70" s="148"/>
      <c r="DRP70"/>
      <c r="DRQ70" s="140"/>
      <c r="DRR70" s="149"/>
      <c r="DRS70"/>
      <c r="DRT70" s="142"/>
      <c r="DRU70" s="143"/>
      <c r="DRV70" s="144"/>
      <c r="DRW70" s="144"/>
      <c r="DRX70" s="143"/>
      <c r="DRY70" s="145"/>
      <c r="DRZ70" s="143"/>
      <c r="DSA70" s="145"/>
      <c r="DSB70" s="146"/>
      <c r="DSC70" s="147"/>
      <c r="DSD70"/>
      <c r="DSE70" s="148"/>
      <c r="DSF70"/>
      <c r="DSG70" s="140"/>
      <c r="DSH70" s="149"/>
      <c r="DSI70"/>
      <c r="DSJ70" s="142"/>
      <c r="DSK70" s="143"/>
      <c r="DSL70" s="144"/>
      <c r="DSM70" s="144"/>
      <c r="DSN70" s="143"/>
      <c r="DSO70" s="145"/>
      <c r="DSP70" s="143"/>
      <c r="DSQ70" s="145"/>
      <c r="DSR70" s="146"/>
      <c r="DSS70" s="147"/>
      <c r="DST70"/>
      <c r="DSU70" s="148"/>
      <c r="DSV70"/>
      <c r="DSW70" s="140"/>
      <c r="DSX70" s="149"/>
      <c r="DSY70"/>
      <c r="DSZ70" s="142"/>
      <c r="DTA70" s="143"/>
      <c r="DTB70" s="144"/>
      <c r="DTC70" s="144"/>
      <c r="DTD70" s="143"/>
      <c r="DTE70" s="145"/>
      <c r="DTF70" s="143"/>
      <c r="DTG70" s="145"/>
      <c r="DTH70" s="146"/>
      <c r="DTI70" s="147"/>
      <c r="DTJ70"/>
      <c r="DTK70" s="148"/>
      <c r="DTL70"/>
      <c r="DTM70" s="140"/>
      <c r="DTN70" s="149"/>
      <c r="DTO70"/>
      <c r="DTP70" s="142"/>
      <c r="DTQ70" s="143"/>
      <c r="DTR70" s="144"/>
      <c r="DTS70" s="144"/>
      <c r="DTT70" s="143"/>
      <c r="DTU70" s="145"/>
      <c r="DTV70" s="143"/>
      <c r="DTW70" s="145"/>
      <c r="DTX70" s="146"/>
      <c r="DTY70" s="147"/>
      <c r="DTZ70"/>
      <c r="DUA70" s="148"/>
      <c r="DUB70"/>
      <c r="DUC70" s="140"/>
      <c r="DUD70" s="149"/>
      <c r="DUE70"/>
      <c r="DUF70" s="142"/>
      <c r="DUG70" s="143"/>
      <c r="DUH70" s="144"/>
      <c r="DUI70" s="144"/>
      <c r="DUJ70" s="143"/>
      <c r="DUK70" s="145"/>
      <c r="DUL70" s="143"/>
      <c r="DUM70" s="145"/>
      <c r="DUN70" s="146"/>
      <c r="DUO70" s="147"/>
      <c r="DUP70"/>
      <c r="DUQ70" s="148"/>
      <c r="DUR70"/>
      <c r="DUS70" s="140"/>
      <c r="DUT70" s="149"/>
      <c r="DUU70"/>
      <c r="DUV70" s="142"/>
      <c r="DUW70" s="143"/>
      <c r="DUX70" s="144"/>
      <c r="DUY70" s="144"/>
      <c r="DUZ70" s="143"/>
      <c r="DVA70" s="145"/>
      <c r="DVB70" s="143"/>
      <c r="DVC70" s="145"/>
      <c r="DVD70" s="146"/>
      <c r="DVE70" s="147"/>
      <c r="DVF70"/>
      <c r="DVG70" s="148"/>
      <c r="DVH70"/>
      <c r="DVI70" s="140"/>
      <c r="DVJ70" s="149"/>
      <c r="DVK70"/>
      <c r="DVL70" s="142"/>
      <c r="DVM70" s="143"/>
      <c r="DVN70" s="144"/>
      <c r="DVO70" s="144"/>
      <c r="DVP70" s="143"/>
      <c r="DVQ70" s="145"/>
      <c r="DVR70" s="143"/>
      <c r="DVS70" s="145"/>
      <c r="DVT70" s="146"/>
      <c r="DVU70" s="147"/>
      <c r="DVV70"/>
      <c r="DVW70" s="148"/>
      <c r="DVX70"/>
      <c r="DVY70" s="140"/>
      <c r="DVZ70" s="149"/>
      <c r="DWA70"/>
      <c r="DWB70" s="142"/>
      <c r="DWC70" s="143"/>
      <c r="DWD70" s="144"/>
      <c r="DWE70" s="144"/>
      <c r="DWF70" s="143"/>
      <c r="DWG70" s="145"/>
      <c r="DWH70" s="143"/>
      <c r="DWI70" s="145"/>
      <c r="DWJ70" s="146"/>
      <c r="DWK70" s="147"/>
      <c r="DWL70"/>
      <c r="DWM70" s="148"/>
      <c r="DWN70"/>
      <c r="DWO70" s="140"/>
      <c r="DWP70" s="149"/>
      <c r="DWQ70"/>
      <c r="DWR70" s="142"/>
      <c r="DWS70" s="143"/>
      <c r="DWT70" s="144"/>
      <c r="DWU70" s="144"/>
      <c r="DWV70" s="143"/>
      <c r="DWW70" s="145"/>
      <c r="DWX70" s="143"/>
      <c r="DWY70" s="145"/>
      <c r="DWZ70" s="146"/>
      <c r="DXA70" s="147"/>
      <c r="DXB70"/>
      <c r="DXC70" s="148"/>
      <c r="DXD70"/>
      <c r="DXE70" s="140"/>
      <c r="DXF70" s="149"/>
      <c r="DXG70"/>
      <c r="DXH70" s="142"/>
      <c r="DXI70" s="143"/>
      <c r="DXJ70" s="144"/>
      <c r="DXK70" s="144"/>
      <c r="DXL70" s="143"/>
      <c r="DXM70" s="145"/>
      <c r="DXN70" s="143"/>
      <c r="DXO70" s="145"/>
      <c r="DXP70" s="146"/>
      <c r="DXQ70" s="147"/>
      <c r="DXR70"/>
      <c r="DXS70" s="148"/>
      <c r="DXT70"/>
      <c r="DXU70" s="140"/>
      <c r="DXV70" s="149"/>
      <c r="DXW70"/>
      <c r="DXX70" s="142"/>
      <c r="DXY70" s="143"/>
      <c r="DXZ70" s="144"/>
      <c r="DYA70" s="144"/>
      <c r="DYB70" s="143"/>
      <c r="DYC70" s="145"/>
      <c r="DYD70" s="143"/>
      <c r="DYE70" s="145"/>
      <c r="DYF70" s="146"/>
      <c r="DYG70" s="147"/>
      <c r="DYH70"/>
      <c r="DYI70" s="148"/>
      <c r="DYJ70"/>
      <c r="DYK70" s="140"/>
      <c r="DYL70" s="149"/>
      <c r="DYM70"/>
      <c r="DYN70" s="142"/>
      <c r="DYO70" s="143"/>
      <c r="DYP70" s="144"/>
      <c r="DYQ70" s="144"/>
      <c r="DYR70" s="143"/>
      <c r="DYS70" s="145"/>
      <c r="DYT70" s="143"/>
      <c r="DYU70" s="145"/>
      <c r="DYV70" s="146"/>
      <c r="DYW70" s="147"/>
      <c r="DYX70"/>
      <c r="DYY70" s="148"/>
      <c r="DYZ70"/>
      <c r="DZA70" s="140"/>
      <c r="DZB70" s="149"/>
      <c r="DZC70"/>
      <c r="DZD70" s="142"/>
      <c r="DZE70" s="143"/>
      <c r="DZF70" s="144"/>
      <c r="DZG70" s="144"/>
      <c r="DZH70" s="143"/>
      <c r="DZI70" s="145"/>
      <c r="DZJ70" s="143"/>
      <c r="DZK70" s="145"/>
      <c r="DZL70" s="146"/>
      <c r="DZM70" s="147"/>
      <c r="DZN70"/>
      <c r="DZO70" s="148"/>
      <c r="DZP70"/>
      <c r="DZQ70" s="140"/>
      <c r="DZR70" s="149"/>
      <c r="DZS70"/>
      <c r="DZT70" s="142"/>
      <c r="DZU70" s="143"/>
      <c r="DZV70" s="144"/>
      <c r="DZW70" s="144"/>
      <c r="DZX70" s="143"/>
      <c r="DZY70" s="145"/>
      <c r="DZZ70" s="143"/>
      <c r="EAA70" s="145"/>
      <c r="EAB70" s="146"/>
      <c r="EAC70" s="147"/>
      <c r="EAD70"/>
      <c r="EAE70" s="148"/>
      <c r="EAF70"/>
      <c r="EAG70" s="140"/>
      <c r="EAH70" s="149"/>
      <c r="EAI70"/>
      <c r="EAJ70" s="142"/>
      <c r="EAK70" s="143"/>
      <c r="EAL70" s="144"/>
      <c r="EAM70" s="144"/>
      <c r="EAN70" s="143"/>
      <c r="EAO70" s="145"/>
      <c r="EAP70" s="143"/>
      <c r="EAQ70" s="145"/>
      <c r="EAR70" s="146"/>
      <c r="EAS70" s="147"/>
      <c r="EAT70"/>
      <c r="EAU70" s="148"/>
      <c r="EAV70"/>
      <c r="EAW70" s="140"/>
      <c r="EAX70" s="149"/>
      <c r="EAY70"/>
      <c r="EAZ70" s="142"/>
      <c r="EBA70" s="143"/>
      <c r="EBB70" s="144"/>
      <c r="EBC70" s="144"/>
      <c r="EBD70" s="143"/>
      <c r="EBE70" s="145"/>
      <c r="EBF70" s="143"/>
      <c r="EBG70" s="145"/>
      <c r="EBH70" s="146"/>
      <c r="EBI70" s="147"/>
      <c r="EBJ70"/>
      <c r="EBK70" s="148"/>
      <c r="EBL70"/>
      <c r="EBM70" s="140"/>
      <c r="EBN70" s="149"/>
      <c r="EBO70"/>
      <c r="EBP70" s="142"/>
      <c r="EBQ70" s="143"/>
      <c r="EBR70" s="144"/>
      <c r="EBS70" s="144"/>
      <c r="EBT70" s="143"/>
      <c r="EBU70" s="145"/>
      <c r="EBV70" s="143"/>
      <c r="EBW70" s="145"/>
      <c r="EBX70" s="146"/>
      <c r="EBY70" s="147"/>
      <c r="EBZ70"/>
      <c r="ECA70" s="148"/>
      <c r="ECB70"/>
      <c r="ECC70" s="140"/>
      <c r="ECD70" s="149"/>
      <c r="ECE70"/>
      <c r="ECF70" s="142"/>
      <c r="ECG70" s="143"/>
      <c r="ECH70" s="144"/>
      <c r="ECI70" s="144"/>
      <c r="ECJ70" s="143"/>
      <c r="ECK70" s="145"/>
      <c r="ECL70" s="143"/>
      <c r="ECM70" s="145"/>
      <c r="ECN70" s="146"/>
      <c r="ECO70" s="147"/>
      <c r="ECP70"/>
      <c r="ECQ70" s="148"/>
      <c r="ECR70"/>
      <c r="ECS70" s="140"/>
      <c r="ECT70" s="149"/>
      <c r="ECU70"/>
      <c r="ECV70" s="142"/>
      <c r="ECW70" s="143"/>
      <c r="ECX70" s="144"/>
      <c r="ECY70" s="144"/>
      <c r="ECZ70" s="143"/>
      <c r="EDA70" s="145"/>
      <c r="EDB70" s="143"/>
      <c r="EDC70" s="145"/>
      <c r="EDD70" s="146"/>
      <c r="EDE70" s="147"/>
      <c r="EDF70"/>
      <c r="EDG70" s="148"/>
      <c r="EDH70"/>
      <c r="EDI70" s="140"/>
      <c r="EDJ70" s="149"/>
      <c r="EDK70"/>
      <c r="EDL70" s="142"/>
      <c r="EDM70" s="143"/>
      <c r="EDN70" s="144"/>
      <c r="EDO70" s="144"/>
      <c r="EDP70" s="143"/>
      <c r="EDQ70" s="145"/>
      <c r="EDR70" s="143"/>
      <c r="EDS70" s="145"/>
      <c r="EDT70" s="146"/>
      <c r="EDU70" s="147"/>
      <c r="EDV70"/>
      <c r="EDW70" s="148"/>
      <c r="EDX70"/>
      <c r="EDY70" s="140"/>
      <c r="EDZ70" s="149"/>
      <c r="EEA70"/>
      <c r="EEB70" s="142"/>
      <c r="EEC70" s="143"/>
      <c r="EED70" s="144"/>
      <c r="EEE70" s="144"/>
      <c r="EEF70" s="143"/>
      <c r="EEG70" s="145"/>
      <c r="EEH70" s="143"/>
      <c r="EEI70" s="145"/>
      <c r="EEJ70" s="146"/>
      <c r="EEK70" s="147"/>
      <c r="EEL70"/>
      <c r="EEM70" s="148"/>
      <c r="EEN70"/>
      <c r="EEO70" s="140"/>
      <c r="EEP70" s="149"/>
      <c r="EEQ70"/>
      <c r="EER70" s="142"/>
      <c r="EES70" s="143"/>
      <c r="EET70" s="144"/>
      <c r="EEU70" s="144"/>
      <c r="EEV70" s="143"/>
      <c r="EEW70" s="145"/>
      <c r="EEX70" s="143"/>
      <c r="EEY70" s="145"/>
      <c r="EEZ70" s="146"/>
      <c r="EFA70" s="147"/>
      <c r="EFB70"/>
      <c r="EFC70" s="148"/>
      <c r="EFD70"/>
      <c r="EFE70" s="140"/>
      <c r="EFF70" s="149"/>
      <c r="EFG70"/>
      <c r="EFH70" s="142"/>
      <c r="EFI70" s="143"/>
      <c r="EFJ70" s="144"/>
      <c r="EFK70" s="144"/>
      <c r="EFL70" s="143"/>
      <c r="EFM70" s="145"/>
      <c r="EFN70" s="143"/>
      <c r="EFO70" s="145"/>
      <c r="EFP70" s="146"/>
      <c r="EFQ70" s="147"/>
      <c r="EFR70"/>
      <c r="EFS70" s="148"/>
      <c r="EFT70"/>
      <c r="EFU70" s="140"/>
      <c r="EFV70" s="149"/>
      <c r="EFW70"/>
      <c r="EFX70" s="142"/>
      <c r="EFY70" s="143"/>
      <c r="EFZ70" s="144"/>
      <c r="EGA70" s="144"/>
      <c r="EGB70" s="143"/>
      <c r="EGC70" s="145"/>
      <c r="EGD70" s="143"/>
      <c r="EGE70" s="145"/>
      <c r="EGF70" s="146"/>
      <c r="EGG70" s="147"/>
      <c r="EGH70"/>
      <c r="EGI70" s="148"/>
      <c r="EGJ70"/>
      <c r="EGK70" s="140"/>
      <c r="EGL70" s="149"/>
      <c r="EGM70"/>
      <c r="EGN70" s="142"/>
      <c r="EGO70" s="143"/>
      <c r="EGP70" s="144"/>
      <c r="EGQ70" s="144"/>
      <c r="EGR70" s="143"/>
      <c r="EGS70" s="145"/>
      <c r="EGT70" s="143"/>
      <c r="EGU70" s="145"/>
      <c r="EGV70" s="146"/>
      <c r="EGW70" s="147"/>
      <c r="EGX70"/>
      <c r="EGY70" s="148"/>
      <c r="EGZ70"/>
      <c r="EHA70" s="140"/>
      <c r="EHB70" s="149"/>
      <c r="EHC70"/>
      <c r="EHD70" s="142"/>
      <c r="EHE70" s="143"/>
      <c r="EHF70" s="144"/>
      <c r="EHG70" s="144"/>
      <c r="EHH70" s="143"/>
      <c r="EHI70" s="145"/>
      <c r="EHJ70" s="143"/>
      <c r="EHK70" s="145"/>
      <c r="EHL70" s="146"/>
      <c r="EHM70" s="147"/>
      <c r="EHN70"/>
      <c r="EHO70" s="148"/>
      <c r="EHP70"/>
      <c r="EHQ70" s="140"/>
      <c r="EHR70" s="149"/>
      <c r="EHS70"/>
      <c r="EHT70" s="142"/>
      <c r="EHU70" s="143"/>
      <c r="EHV70" s="144"/>
      <c r="EHW70" s="144"/>
      <c r="EHX70" s="143"/>
      <c r="EHY70" s="145"/>
      <c r="EHZ70" s="143"/>
      <c r="EIA70" s="145"/>
      <c r="EIB70" s="146"/>
      <c r="EIC70" s="147"/>
      <c r="EID70"/>
      <c r="EIE70" s="148"/>
      <c r="EIF70"/>
      <c r="EIG70" s="140"/>
      <c r="EIH70" s="149"/>
      <c r="EII70"/>
      <c r="EIJ70" s="142"/>
      <c r="EIK70" s="143"/>
      <c r="EIL70" s="144"/>
      <c r="EIM70" s="144"/>
      <c r="EIN70" s="143"/>
      <c r="EIO70" s="145"/>
      <c r="EIP70" s="143"/>
      <c r="EIQ70" s="145"/>
      <c r="EIR70" s="146"/>
      <c r="EIS70" s="147"/>
      <c r="EIT70"/>
      <c r="EIU70" s="148"/>
      <c r="EIV70"/>
      <c r="EIW70" s="140"/>
      <c r="EIX70" s="149"/>
      <c r="EIY70"/>
      <c r="EIZ70" s="142"/>
      <c r="EJA70" s="143"/>
      <c r="EJB70" s="144"/>
      <c r="EJC70" s="144"/>
      <c r="EJD70" s="143"/>
      <c r="EJE70" s="145"/>
      <c r="EJF70" s="143"/>
      <c r="EJG70" s="145"/>
      <c r="EJH70" s="146"/>
      <c r="EJI70" s="147"/>
      <c r="EJJ70"/>
      <c r="EJK70" s="148"/>
      <c r="EJL70"/>
      <c r="EJM70" s="140"/>
      <c r="EJN70" s="149"/>
      <c r="EJO70"/>
      <c r="EJP70" s="142"/>
      <c r="EJQ70" s="143"/>
      <c r="EJR70" s="144"/>
      <c r="EJS70" s="144"/>
      <c r="EJT70" s="143"/>
      <c r="EJU70" s="145"/>
      <c r="EJV70" s="143"/>
      <c r="EJW70" s="145"/>
      <c r="EJX70" s="146"/>
      <c r="EJY70" s="147"/>
      <c r="EJZ70"/>
      <c r="EKA70" s="148"/>
      <c r="EKB70"/>
      <c r="EKC70" s="140"/>
      <c r="EKD70" s="149"/>
      <c r="EKE70"/>
      <c r="EKF70" s="142"/>
      <c r="EKG70" s="143"/>
      <c r="EKH70" s="144"/>
      <c r="EKI70" s="144"/>
      <c r="EKJ70" s="143"/>
      <c r="EKK70" s="145"/>
      <c r="EKL70" s="143"/>
      <c r="EKM70" s="145"/>
      <c r="EKN70" s="146"/>
      <c r="EKO70" s="147"/>
      <c r="EKP70"/>
      <c r="EKQ70" s="148"/>
      <c r="EKR70"/>
      <c r="EKS70" s="140"/>
      <c r="EKT70" s="149"/>
      <c r="EKU70"/>
      <c r="EKV70" s="142"/>
      <c r="EKW70" s="143"/>
      <c r="EKX70" s="144"/>
      <c r="EKY70" s="144"/>
      <c r="EKZ70" s="143"/>
      <c r="ELA70" s="145"/>
      <c r="ELB70" s="143"/>
      <c r="ELC70" s="145"/>
      <c r="ELD70" s="146"/>
      <c r="ELE70" s="147"/>
      <c r="ELF70"/>
      <c r="ELG70" s="148"/>
      <c r="ELH70"/>
      <c r="ELI70" s="140"/>
      <c r="ELJ70" s="149"/>
      <c r="ELK70"/>
      <c r="ELL70" s="142"/>
      <c r="ELM70" s="143"/>
      <c r="ELN70" s="144"/>
      <c r="ELO70" s="144"/>
      <c r="ELP70" s="143"/>
      <c r="ELQ70" s="145"/>
      <c r="ELR70" s="143"/>
      <c r="ELS70" s="145"/>
      <c r="ELT70" s="146"/>
      <c r="ELU70" s="147"/>
      <c r="ELV70"/>
      <c r="ELW70" s="148"/>
      <c r="ELX70"/>
      <c r="ELY70" s="140"/>
      <c r="ELZ70" s="149"/>
      <c r="EMA70"/>
      <c r="EMB70" s="142"/>
      <c r="EMC70" s="143"/>
      <c r="EMD70" s="144"/>
      <c r="EME70" s="144"/>
      <c r="EMF70" s="143"/>
      <c r="EMG70" s="145"/>
      <c r="EMH70" s="143"/>
      <c r="EMI70" s="145"/>
      <c r="EMJ70" s="146"/>
      <c r="EMK70" s="147"/>
      <c r="EML70"/>
      <c r="EMM70" s="148"/>
      <c r="EMN70"/>
      <c r="EMO70" s="140"/>
      <c r="EMP70" s="149"/>
      <c r="EMQ70"/>
      <c r="EMR70" s="142"/>
      <c r="EMS70" s="143"/>
      <c r="EMT70" s="144"/>
      <c r="EMU70" s="144"/>
      <c r="EMV70" s="143"/>
      <c r="EMW70" s="145"/>
      <c r="EMX70" s="143"/>
      <c r="EMY70" s="145"/>
      <c r="EMZ70" s="146"/>
      <c r="ENA70" s="147"/>
      <c r="ENB70"/>
      <c r="ENC70" s="148"/>
      <c r="END70"/>
      <c r="ENE70" s="140"/>
      <c r="ENF70" s="149"/>
      <c r="ENG70"/>
      <c r="ENH70" s="142"/>
      <c r="ENI70" s="143"/>
      <c r="ENJ70" s="144"/>
      <c r="ENK70" s="144"/>
      <c r="ENL70" s="143"/>
      <c r="ENM70" s="145"/>
      <c r="ENN70" s="143"/>
      <c r="ENO70" s="145"/>
      <c r="ENP70" s="146"/>
      <c r="ENQ70" s="147"/>
      <c r="ENR70"/>
      <c r="ENS70" s="148"/>
      <c r="ENT70"/>
      <c r="ENU70" s="140"/>
      <c r="ENV70" s="149"/>
      <c r="ENW70"/>
      <c r="ENX70" s="142"/>
      <c r="ENY70" s="143"/>
      <c r="ENZ70" s="144"/>
      <c r="EOA70" s="144"/>
      <c r="EOB70" s="143"/>
      <c r="EOC70" s="145"/>
      <c r="EOD70" s="143"/>
      <c r="EOE70" s="145"/>
      <c r="EOF70" s="146"/>
      <c r="EOG70" s="147"/>
      <c r="EOH70"/>
      <c r="EOI70" s="148"/>
      <c r="EOJ70"/>
      <c r="EOK70" s="140"/>
      <c r="EOL70" s="149"/>
      <c r="EOM70"/>
      <c r="EON70" s="142"/>
      <c r="EOO70" s="143"/>
      <c r="EOP70" s="144"/>
      <c r="EOQ70" s="144"/>
      <c r="EOR70" s="143"/>
      <c r="EOS70" s="145"/>
      <c r="EOT70" s="143"/>
      <c r="EOU70" s="145"/>
      <c r="EOV70" s="146"/>
      <c r="EOW70" s="147"/>
      <c r="EOX70"/>
      <c r="EOY70" s="148"/>
      <c r="EOZ70"/>
      <c r="EPA70" s="140"/>
      <c r="EPB70" s="149"/>
      <c r="EPC70"/>
      <c r="EPD70" s="142"/>
      <c r="EPE70" s="143"/>
      <c r="EPF70" s="144"/>
      <c r="EPG70" s="144"/>
      <c r="EPH70" s="143"/>
      <c r="EPI70" s="145"/>
      <c r="EPJ70" s="143"/>
      <c r="EPK70" s="145"/>
      <c r="EPL70" s="146"/>
      <c r="EPM70" s="147"/>
      <c r="EPN70"/>
      <c r="EPO70" s="148"/>
      <c r="EPP70"/>
      <c r="EPQ70" s="140"/>
      <c r="EPR70" s="149"/>
      <c r="EPS70"/>
      <c r="EPT70" s="142"/>
      <c r="EPU70" s="143"/>
      <c r="EPV70" s="144"/>
      <c r="EPW70" s="144"/>
      <c r="EPX70" s="143"/>
      <c r="EPY70" s="145"/>
      <c r="EPZ70" s="143"/>
      <c r="EQA70" s="145"/>
      <c r="EQB70" s="146"/>
      <c r="EQC70" s="147"/>
      <c r="EQD70"/>
      <c r="EQE70" s="148"/>
      <c r="EQF70"/>
      <c r="EQG70" s="140"/>
      <c r="EQH70" s="149"/>
      <c r="EQI70"/>
      <c r="EQJ70" s="142"/>
      <c r="EQK70" s="143"/>
      <c r="EQL70" s="144"/>
      <c r="EQM70" s="144"/>
      <c r="EQN70" s="143"/>
      <c r="EQO70" s="145"/>
      <c r="EQP70" s="143"/>
      <c r="EQQ70" s="145"/>
      <c r="EQR70" s="146"/>
      <c r="EQS70" s="147"/>
      <c r="EQT70"/>
      <c r="EQU70" s="148"/>
      <c r="EQV70"/>
      <c r="EQW70" s="140"/>
      <c r="EQX70" s="149"/>
      <c r="EQY70"/>
      <c r="EQZ70" s="142"/>
      <c r="ERA70" s="143"/>
      <c r="ERB70" s="144"/>
      <c r="ERC70" s="144"/>
      <c r="ERD70" s="143"/>
      <c r="ERE70" s="145"/>
      <c r="ERF70" s="143"/>
      <c r="ERG70" s="145"/>
      <c r="ERH70" s="146"/>
      <c r="ERI70" s="147"/>
      <c r="ERJ70"/>
      <c r="ERK70" s="148"/>
      <c r="ERL70"/>
      <c r="ERM70" s="140"/>
      <c r="ERN70" s="149"/>
      <c r="ERO70"/>
      <c r="ERP70" s="142"/>
      <c r="ERQ70" s="143"/>
      <c r="ERR70" s="144"/>
      <c r="ERS70" s="144"/>
      <c r="ERT70" s="143"/>
      <c r="ERU70" s="145"/>
      <c r="ERV70" s="143"/>
      <c r="ERW70" s="145"/>
      <c r="ERX70" s="146"/>
      <c r="ERY70" s="147"/>
      <c r="ERZ70"/>
      <c r="ESA70" s="148"/>
      <c r="ESB70"/>
      <c r="ESC70" s="140"/>
      <c r="ESD70" s="149"/>
      <c r="ESE70"/>
      <c r="ESF70" s="142"/>
      <c r="ESG70" s="143"/>
      <c r="ESH70" s="144"/>
      <c r="ESI70" s="144"/>
      <c r="ESJ70" s="143"/>
      <c r="ESK70" s="145"/>
      <c r="ESL70" s="143"/>
      <c r="ESM70" s="145"/>
      <c r="ESN70" s="146"/>
      <c r="ESO70" s="147"/>
      <c r="ESP70"/>
      <c r="ESQ70" s="148"/>
      <c r="ESR70"/>
      <c r="ESS70" s="140"/>
      <c r="EST70" s="149"/>
      <c r="ESU70"/>
      <c r="ESV70" s="142"/>
      <c r="ESW70" s="143"/>
      <c r="ESX70" s="144"/>
      <c r="ESY70" s="144"/>
      <c r="ESZ70" s="143"/>
      <c r="ETA70" s="145"/>
      <c r="ETB70" s="143"/>
      <c r="ETC70" s="145"/>
      <c r="ETD70" s="146"/>
      <c r="ETE70" s="147"/>
      <c r="ETF70"/>
      <c r="ETG70" s="148"/>
      <c r="ETH70"/>
      <c r="ETI70" s="140"/>
      <c r="ETJ70" s="149"/>
      <c r="ETK70"/>
      <c r="ETL70" s="142"/>
      <c r="ETM70" s="143"/>
      <c r="ETN70" s="144"/>
      <c r="ETO70" s="144"/>
      <c r="ETP70" s="143"/>
      <c r="ETQ70" s="145"/>
      <c r="ETR70" s="143"/>
      <c r="ETS70" s="145"/>
      <c r="ETT70" s="146"/>
      <c r="ETU70" s="147"/>
      <c r="ETV70"/>
      <c r="ETW70" s="148"/>
      <c r="ETX70"/>
      <c r="ETY70" s="140"/>
      <c r="ETZ70" s="149"/>
      <c r="EUA70"/>
      <c r="EUB70" s="142"/>
      <c r="EUC70" s="143"/>
      <c r="EUD70" s="144"/>
      <c r="EUE70" s="144"/>
      <c r="EUF70" s="143"/>
      <c r="EUG70" s="145"/>
      <c r="EUH70" s="143"/>
      <c r="EUI70" s="145"/>
      <c r="EUJ70" s="146"/>
      <c r="EUK70" s="147"/>
      <c r="EUL70"/>
      <c r="EUM70" s="148"/>
      <c r="EUN70"/>
      <c r="EUO70" s="140"/>
      <c r="EUP70" s="149"/>
      <c r="EUQ70"/>
      <c r="EUR70" s="142"/>
      <c r="EUS70" s="143"/>
      <c r="EUT70" s="144"/>
      <c r="EUU70" s="144"/>
      <c r="EUV70" s="143"/>
      <c r="EUW70" s="145"/>
      <c r="EUX70" s="143"/>
      <c r="EUY70" s="145"/>
      <c r="EUZ70" s="146"/>
      <c r="EVA70" s="147"/>
      <c r="EVB70"/>
      <c r="EVC70" s="148"/>
      <c r="EVD70"/>
      <c r="EVE70" s="140"/>
      <c r="EVF70" s="149"/>
      <c r="EVG70"/>
      <c r="EVH70" s="142"/>
      <c r="EVI70" s="143"/>
      <c r="EVJ70" s="144"/>
      <c r="EVK70" s="144"/>
      <c r="EVL70" s="143"/>
      <c r="EVM70" s="145"/>
      <c r="EVN70" s="143"/>
      <c r="EVO70" s="145"/>
      <c r="EVP70" s="146"/>
      <c r="EVQ70" s="147"/>
      <c r="EVR70"/>
      <c r="EVS70" s="148"/>
      <c r="EVT70"/>
      <c r="EVU70" s="140"/>
      <c r="EVV70" s="149"/>
      <c r="EVW70"/>
      <c r="EVX70" s="142"/>
      <c r="EVY70" s="143"/>
      <c r="EVZ70" s="144"/>
      <c r="EWA70" s="144"/>
      <c r="EWB70" s="143"/>
      <c r="EWC70" s="145"/>
      <c r="EWD70" s="143"/>
      <c r="EWE70" s="145"/>
      <c r="EWF70" s="146"/>
      <c r="EWG70" s="147"/>
      <c r="EWH70"/>
      <c r="EWI70" s="148"/>
      <c r="EWJ70"/>
      <c r="EWK70" s="140"/>
      <c r="EWL70" s="149"/>
      <c r="EWM70"/>
      <c r="EWN70" s="142"/>
      <c r="EWO70" s="143"/>
      <c r="EWP70" s="144"/>
      <c r="EWQ70" s="144"/>
      <c r="EWR70" s="143"/>
      <c r="EWS70" s="145"/>
      <c r="EWT70" s="143"/>
      <c r="EWU70" s="145"/>
      <c r="EWV70" s="146"/>
      <c r="EWW70" s="147"/>
      <c r="EWX70"/>
      <c r="EWY70" s="148"/>
      <c r="EWZ70"/>
      <c r="EXA70" s="140"/>
      <c r="EXB70" s="149"/>
      <c r="EXC70"/>
      <c r="EXD70" s="142"/>
      <c r="EXE70" s="143"/>
      <c r="EXF70" s="144"/>
      <c r="EXG70" s="144"/>
      <c r="EXH70" s="143"/>
      <c r="EXI70" s="145"/>
      <c r="EXJ70" s="143"/>
      <c r="EXK70" s="145"/>
      <c r="EXL70" s="146"/>
      <c r="EXM70" s="147"/>
      <c r="EXN70"/>
      <c r="EXO70" s="148"/>
      <c r="EXP70"/>
      <c r="EXQ70" s="140"/>
      <c r="EXR70" s="149"/>
      <c r="EXS70"/>
      <c r="EXT70" s="142"/>
      <c r="EXU70" s="143"/>
      <c r="EXV70" s="144"/>
      <c r="EXW70" s="144"/>
      <c r="EXX70" s="143"/>
      <c r="EXY70" s="145"/>
      <c r="EXZ70" s="143"/>
      <c r="EYA70" s="145"/>
      <c r="EYB70" s="146"/>
      <c r="EYC70" s="147"/>
      <c r="EYD70"/>
      <c r="EYE70" s="148"/>
      <c r="EYF70"/>
      <c r="EYG70" s="140"/>
      <c r="EYH70" s="149"/>
      <c r="EYI70"/>
      <c r="EYJ70" s="142"/>
      <c r="EYK70" s="143"/>
      <c r="EYL70" s="144"/>
      <c r="EYM70" s="144"/>
      <c r="EYN70" s="143"/>
      <c r="EYO70" s="145"/>
      <c r="EYP70" s="143"/>
      <c r="EYQ70" s="145"/>
      <c r="EYR70" s="146"/>
      <c r="EYS70" s="147"/>
      <c r="EYT70"/>
      <c r="EYU70" s="148"/>
      <c r="EYV70"/>
      <c r="EYW70" s="140"/>
      <c r="EYX70" s="149"/>
      <c r="EYY70"/>
      <c r="EYZ70" s="142"/>
      <c r="EZA70" s="143"/>
      <c r="EZB70" s="144"/>
      <c r="EZC70" s="144"/>
      <c r="EZD70" s="143"/>
      <c r="EZE70" s="145"/>
      <c r="EZF70" s="143"/>
      <c r="EZG70" s="145"/>
      <c r="EZH70" s="146"/>
      <c r="EZI70" s="147"/>
      <c r="EZJ70"/>
      <c r="EZK70" s="148"/>
      <c r="EZL70"/>
      <c r="EZM70" s="140"/>
      <c r="EZN70" s="149"/>
      <c r="EZO70"/>
      <c r="EZP70" s="142"/>
      <c r="EZQ70" s="143"/>
      <c r="EZR70" s="144"/>
      <c r="EZS70" s="144"/>
      <c r="EZT70" s="143"/>
      <c r="EZU70" s="145"/>
      <c r="EZV70" s="143"/>
      <c r="EZW70" s="145"/>
      <c r="EZX70" s="146"/>
      <c r="EZY70" s="147"/>
      <c r="EZZ70"/>
      <c r="FAA70" s="148"/>
      <c r="FAB70"/>
      <c r="FAC70" s="140"/>
      <c r="FAD70" s="149"/>
      <c r="FAE70"/>
      <c r="FAF70" s="142"/>
      <c r="FAG70" s="143"/>
      <c r="FAH70" s="144"/>
      <c r="FAI70" s="144"/>
      <c r="FAJ70" s="143"/>
      <c r="FAK70" s="145"/>
      <c r="FAL70" s="143"/>
      <c r="FAM70" s="145"/>
      <c r="FAN70" s="146"/>
      <c r="FAO70" s="147"/>
      <c r="FAP70"/>
      <c r="FAQ70" s="148"/>
      <c r="FAR70"/>
      <c r="FAS70" s="140"/>
      <c r="FAT70" s="149"/>
      <c r="FAU70"/>
      <c r="FAV70" s="142"/>
      <c r="FAW70" s="143"/>
      <c r="FAX70" s="144"/>
      <c r="FAY70" s="144"/>
      <c r="FAZ70" s="143"/>
      <c r="FBA70" s="145"/>
      <c r="FBB70" s="143"/>
      <c r="FBC70" s="145"/>
      <c r="FBD70" s="146"/>
      <c r="FBE70" s="147"/>
      <c r="FBF70"/>
      <c r="FBG70" s="148"/>
      <c r="FBH70"/>
      <c r="FBI70" s="140"/>
      <c r="FBJ70" s="149"/>
      <c r="FBK70"/>
      <c r="FBL70" s="142"/>
      <c r="FBM70" s="143"/>
      <c r="FBN70" s="144"/>
      <c r="FBO70" s="144"/>
      <c r="FBP70" s="143"/>
      <c r="FBQ70" s="145"/>
      <c r="FBR70" s="143"/>
      <c r="FBS70" s="145"/>
      <c r="FBT70" s="146"/>
      <c r="FBU70" s="147"/>
      <c r="FBV70"/>
      <c r="FBW70" s="148"/>
      <c r="FBX70"/>
      <c r="FBY70" s="140"/>
      <c r="FBZ70" s="149"/>
      <c r="FCA70"/>
      <c r="FCB70" s="142"/>
      <c r="FCC70" s="143"/>
      <c r="FCD70" s="144"/>
      <c r="FCE70" s="144"/>
      <c r="FCF70" s="143"/>
      <c r="FCG70" s="145"/>
      <c r="FCH70" s="143"/>
      <c r="FCI70" s="145"/>
      <c r="FCJ70" s="146"/>
      <c r="FCK70" s="147"/>
      <c r="FCL70"/>
      <c r="FCM70" s="148"/>
      <c r="FCN70"/>
      <c r="FCO70" s="140"/>
      <c r="FCP70" s="149"/>
      <c r="FCQ70"/>
      <c r="FCR70" s="142"/>
      <c r="FCS70" s="143"/>
      <c r="FCT70" s="144"/>
      <c r="FCU70" s="144"/>
      <c r="FCV70" s="143"/>
      <c r="FCW70" s="145"/>
      <c r="FCX70" s="143"/>
      <c r="FCY70" s="145"/>
      <c r="FCZ70" s="146"/>
      <c r="FDA70" s="147"/>
      <c r="FDB70"/>
      <c r="FDC70" s="148"/>
      <c r="FDD70"/>
      <c r="FDE70" s="140"/>
      <c r="FDF70" s="149"/>
      <c r="FDG70"/>
      <c r="FDH70" s="142"/>
      <c r="FDI70" s="143"/>
      <c r="FDJ70" s="144"/>
      <c r="FDK70" s="144"/>
      <c r="FDL70" s="143"/>
      <c r="FDM70" s="145"/>
      <c r="FDN70" s="143"/>
      <c r="FDO70" s="145"/>
      <c r="FDP70" s="146"/>
      <c r="FDQ70" s="147"/>
      <c r="FDR70"/>
      <c r="FDS70" s="148"/>
      <c r="FDT70"/>
      <c r="FDU70" s="140"/>
      <c r="FDV70" s="149"/>
      <c r="FDW70"/>
      <c r="FDX70" s="142"/>
      <c r="FDY70" s="143"/>
      <c r="FDZ70" s="144"/>
      <c r="FEA70" s="144"/>
      <c r="FEB70" s="143"/>
      <c r="FEC70" s="145"/>
      <c r="FED70" s="143"/>
      <c r="FEE70" s="145"/>
      <c r="FEF70" s="146"/>
      <c r="FEG70" s="147"/>
      <c r="FEH70"/>
      <c r="FEI70" s="148"/>
      <c r="FEJ70"/>
      <c r="FEK70" s="140"/>
      <c r="FEL70" s="149"/>
      <c r="FEM70"/>
      <c r="FEN70" s="142"/>
      <c r="FEO70" s="143"/>
      <c r="FEP70" s="144"/>
      <c r="FEQ70" s="144"/>
      <c r="FER70" s="143"/>
      <c r="FES70" s="145"/>
      <c r="FET70" s="143"/>
      <c r="FEU70" s="145"/>
      <c r="FEV70" s="146"/>
      <c r="FEW70" s="147"/>
      <c r="FEX70"/>
      <c r="FEY70" s="148"/>
      <c r="FEZ70"/>
      <c r="FFA70" s="140"/>
      <c r="FFB70" s="149"/>
      <c r="FFC70"/>
      <c r="FFD70" s="142"/>
      <c r="FFE70" s="143"/>
      <c r="FFF70" s="144"/>
      <c r="FFG70" s="144"/>
      <c r="FFH70" s="143"/>
      <c r="FFI70" s="145"/>
      <c r="FFJ70" s="143"/>
      <c r="FFK70" s="145"/>
      <c r="FFL70" s="146"/>
      <c r="FFM70" s="147"/>
      <c r="FFN70"/>
      <c r="FFO70" s="148"/>
      <c r="FFP70"/>
      <c r="FFQ70" s="140"/>
      <c r="FFR70" s="149"/>
      <c r="FFS70"/>
      <c r="FFT70" s="142"/>
      <c r="FFU70" s="143"/>
      <c r="FFV70" s="144"/>
      <c r="FFW70" s="144"/>
      <c r="FFX70" s="143"/>
      <c r="FFY70" s="145"/>
      <c r="FFZ70" s="143"/>
      <c r="FGA70" s="145"/>
      <c r="FGB70" s="146"/>
      <c r="FGC70" s="147"/>
      <c r="FGD70"/>
      <c r="FGE70" s="148"/>
      <c r="FGF70"/>
      <c r="FGG70" s="140"/>
      <c r="FGH70" s="149"/>
      <c r="FGI70"/>
      <c r="FGJ70" s="142"/>
      <c r="FGK70" s="143"/>
      <c r="FGL70" s="144"/>
      <c r="FGM70" s="144"/>
      <c r="FGN70" s="143"/>
      <c r="FGO70" s="145"/>
      <c r="FGP70" s="143"/>
      <c r="FGQ70" s="145"/>
      <c r="FGR70" s="146"/>
      <c r="FGS70" s="147"/>
      <c r="FGT70"/>
      <c r="FGU70" s="148"/>
      <c r="FGV70"/>
      <c r="FGW70" s="140"/>
      <c r="FGX70" s="149"/>
      <c r="FGY70"/>
      <c r="FGZ70" s="142"/>
      <c r="FHA70" s="143"/>
      <c r="FHB70" s="144"/>
      <c r="FHC70" s="144"/>
      <c r="FHD70" s="143"/>
      <c r="FHE70" s="145"/>
      <c r="FHF70" s="143"/>
      <c r="FHG70" s="145"/>
      <c r="FHH70" s="146"/>
      <c r="FHI70" s="147"/>
      <c r="FHJ70"/>
      <c r="FHK70" s="148"/>
      <c r="FHL70"/>
      <c r="FHM70" s="140"/>
      <c r="FHN70" s="149"/>
      <c r="FHO70"/>
      <c r="FHP70" s="142"/>
      <c r="FHQ70" s="143"/>
      <c r="FHR70" s="144"/>
      <c r="FHS70" s="144"/>
      <c r="FHT70" s="143"/>
      <c r="FHU70" s="145"/>
      <c r="FHV70" s="143"/>
      <c r="FHW70" s="145"/>
      <c r="FHX70" s="146"/>
      <c r="FHY70" s="147"/>
      <c r="FHZ70"/>
      <c r="FIA70" s="148"/>
      <c r="FIB70"/>
      <c r="FIC70" s="140"/>
      <c r="FID70" s="149"/>
      <c r="FIE70"/>
      <c r="FIF70" s="142"/>
      <c r="FIG70" s="143"/>
      <c r="FIH70" s="144"/>
      <c r="FII70" s="144"/>
      <c r="FIJ70" s="143"/>
      <c r="FIK70" s="145"/>
      <c r="FIL70" s="143"/>
      <c r="FIM70" s="145"/>
      <c r="FIN70" s="146"/>
      <c r="FIO70" s="147"/>
      <c r="FIP70"/>
      <c r="FIQ70" s="148"/>
      <c r="FIR70"/>
      <c r="FIS70" s="140"/>
      <c r="FIT70" s="149"/>
      <c r="FIU70"/>
      <c r="FIV70" s="142"/>
      <c r="FIW70" s="143"/>
      <c r="FIX70" s="144"/>
      <c r="FIY70" s="144"/>
      <c r="FIZ70" s="143"/>
      <c r="FJA70" s="145"/>
      <c r="FJB70" s="143"/>
      <c r="FJC70" s="145"/>
      <c r="FJD70" s="146"/>
      <c r="FJE70" s="147"/>
      <c r="FJF70"/>
      <c r="FJG70" s="148"/>
      <c r="FJH70"/>
      <c r="FJI70" s="140"/>
      <c r="FJJ70" s="149"/>
      <c r="FJK70"/>
      <c r="FJL70" s="142"/>
      <c r="FJM70" s="143"/>
      <c r="FJN70" s="144"/>
      <c r="FJO70" s="144"/>
      <c r="FJP70" s="143"/>
      <c r="FJQ70" s="145"/>
      <c r="FJR70" s="143"/>
      <c r="FJS70" s="145"/>
      <c r="FJT70" s="146"/>
      <c r="FJU70" s="147"/>
      <c r="FJV70"/>
      <c r="FJW70" s="148"/>
      <c r="FJX70"/>
      <c r="FJY70" s="140"/>
      <c r="FJZ70" s="149"/>
      <c r="FKA70"/>
      <c r="FKB70" s="142"/>
      <c r="FKC70" s="143"/>
      <c r="FKD70" s="144"/>
      <c r="FKE70" s="144"/>
      <c r="FKF70" s="143"/>
      <c r="FKG70" s="145"/>
      <c r="FKH70" s="143"/>
      <c r="FKI70" s="145"/>
      <c r="FKJ70" s="146"/>
      <c r="FKK70" s="147"/>
      <c r="FKL70"/>
      <c r="FKM70" s="148"/>
      <c r="FKN70"/>
      <c r="FKO70" s="140"/>
      <c r="FKP70" s="149"/>
      <c r="FKQ70"/>
      <c r="FKR70" s="142"/>
      <c r="FKS70" s="143"/>
      <c r="FKT70" s="144"/>
      <c r="FKU70" s="144"/>
      <c r="FKV70" s="143"/>
      <c r="FKW70" s="145"/>
      <c r="FKX70" s="143"/>
      <c r="FKY70" s="145"/>
      <c r="FKZ70" s="146"/>
      <c r="FLA70" s="147"/>
      <c r="FLB70"/>
      <c r="FLC70" s="148"/>
      <c r="FLD70"/>
      <c r="FLE70" s="140"/>
      <c r="FLF70" s="149"/>
      <c r="FLG70"/>
      <c r="FLH70" s="142"/>
      <c r="FLI70" s="143"/>
      <c r="FLJ70" s="144"/>
      <c r="FLK70" s="144"/>
      <c r="FLL70" s="143"/>
      <c r="FLM70" s="145"/>
      <c r="FLN70" s="143"/>
      <c r="FLO70" s="145"/>
      <c r="FLP70" s="146"/>
      <c r="FLQ70" s="147"/>
      <c r="FLR70"/>
      <c r="FLS70" s="148"/>
      <c r="FLT70"/>
      <c r="FLU70" s="140"/>
      <c r="FLV70" s="149"/>
      <c r="FLW70"/>
      <c r="FLX70" s="142"/>
      <c r="FLY70" s="143"/>
      <c r="FLZ70" s="144"/>
      <c r="FMA70" s="144"/>
      <c r="FMB70" s="143"/>
      <c r="FMC70" s="145"/>
      <c r="FMD70" s="143"/>
      <c r="FME70" s="145"/>
      <c r="FMF70" s="146"/>
      <c r="FMG70" s="147"/>
      <c r="FMH70"/>
      <c r="FMI70" s="148"/>
      <c r="FMJ70"/>
      <c r="FMK70" s="140"/>
      <c r="FML70" s="149"/>
      <c r="FMM70"/>
      <c r="FMN70" s="142"/>
      <c r="FMO70" s="143"/>
      <c r="FMP70" s="144"/>
      <c r="FMQ70" s="144"/>
      <c r="FMR70" s="143"/>
      <c r="FMS70" s="145"/>
      <c r="FMT70" s="143"/>
      <c r="FMU70" s="145"/>
      <c r="FMV70" s="146"/>
      <c r="FMW70" s="147"/>
      <c r="FMX70"/>
      <c r="FMY70" s="148"/>
      <c r="FMZ70"/>
      <c r="FNA70" s="140"/>
      <c r="FNB70" s="149"/>
      <c r="FNC70"/>
      <c r="FND70" s="142"/>
      <c r="FNE70" s="143"/>
      <c r="FNF70" s="144"/>
      <c r="FNG70" s="144"/>
      <c r="FNH70" s="143"/>
      <c r="FNI70" s="145"/>
      <c r="FNJ70" s="143"/>
      <c r="FNK70" s="145"/>
      <c r="FNL70" s="146"/>
      <c r="FNM70" s="147"/>
      <c r="FNN70"/>
      <c r="FNO70" s="148"/>
      <c r="FNP70"/>
      <c r="FNQ70" s="140"/>
      <c r="FNR70" s="149"/>
      <c r="FNS70"/>
      <c r="FNT70" s="142"/>
      <c r="FNU70" s="143"/>
      <c r="FNV70" s="144"/>
      <c r="FNW70" s="144"/>
      <c r="FNX70" s="143"/>
      <c r="FNY70" s="145"/>
      <c r="FNZ70" s="143"/>
      <c r="FOA70" s="145"/>
      <c r="FOB70" s="146"/>
      <c r="FOC70" s="147"/>
      <c r="FOD70"/>
      <c r="FOE70" s="148"/>
      <c r="FOF70"/>
      <c r="FOG70" s="140"/>
      <c r="FOH70" s="149"/>
      <c r="FOI70"/>
      <c r="FOJ70" s="142"/>
      <c r="FOK70" s="143"/>
      <c r="FOL70" s="144"/>
      <c r="FOM70" s="144"/>
      <c r="FON70" s="143"/>
      <c r="FOO70" s="145"/>
      <c r="FOP70" s="143"/>
      <c r="FOQ70" s="145"/>
      <c r="FOR70" s="146"/>
      <c r="FOS70" s="147"/>
      <c r="FOT70"/>
      <c r="FOU70" s="148"/>
      <c r="FOV70"/>
      <c r="FOW70" s="140"/>
      <c r="FOX70" s="149"/>
      <c r="FOY70"/>
      <c r="FOZ70" s="142"/>
      <c r="FPA70" s="143"/>
      <c r="FPB70" s="144"/>
      <c r="FPC70" s="144"/>
      <c r="FPD70" s="143"/>
      <c r="FPE70" s="145"/>
      <c r="FPF70" s="143"/>
      <c r="FPG70" s="145"/>
      <c r="FPH70" s="146"/>
      <c r="FPI70" s="147"/>
      <c r="FPJ70"/>
      <c r="FPK70" s="148"/>
      <c r="FPL70"/>
      <c r="FPM70" s="140"/>
      <c r="FPN70" s="149"/>
      <c r="FPO70"/>
      <c r="FPP70" s="142"/>
      <c r="FPQ70" s="143"/>
      <c r="FPR70" s="144"/>
      <c r="FPS70" s="144"/>
      <c r="FPT70" s="143"/>
      <c r="FPU70" s="145"/>
      <c r="FPV70" s="143"/>
      <c r="FPW70" s="145"/>
      <c r="FPX70" s="146"/>
      <c r="FPY70" s="147"/>
      <c r="FPZ70"/>
      <c r="FQA70" s="148"/>
      <c r="FQB70"/>
      <c r="FQC70" s="140"/>
      <c r="FQD70" s="149"/>
      <c r="FQE70"/>
      <c r="FQF70" s="142"/>
      <c r="FQG70" s="143"/>
      <c r="FQH70" s="144"/>
      <c r="FQI70" s="144"/>
      <c r="FQJ70" s="143"/>
      <c r="FQK70" s="145"/>
      <c r="FQL70" s="143"/>
      <c r="FQM70" s="145"/>
      <c r="FQN70" s="146"/>
      <c r="FQO70" s="147"/>
      <c r="FQP70"/>
      <c r="FQQ70" s="148"/>
      <c r="FQR70"/>
      <c r="FQS70" s="140"/>
      <c r="FQT70" s="149"/>
      <c r="FQU70"/>
      <c r="FQV70" s="142"/>
      <c r="FQW70" s="143"/>
      <c r="FQX70" s="144"/>
      <c r="FQY70" s="144"/>
      <c r="FQZ70" s="143"/>
      <c r="FRA70" s="145"/>
      <c r="FRB70" s="143"/>
      <c r="FRC70" s="145"/>
      <c r="FRD70" s="146"/>
      <c r="FRE70" s="147"/>
      <c r="FRF70"/>
      <c r="FRG70" s="148"/>
      <c r="FRH70"/>
      <c r="FRI70" s="140"/>
      <c r="FRJ70" s="149"/>
      <c r="FRK70"/>
      <c r="FRL70" s="142"/>
      <c r="FRM70" s="143"/>
      <c r="FRN70" s="144"/>
      <c r="FRO70" s="144"/>
      <c r="FRP70" s="143"/>
      <c r="FRQ70" s="145"/>
      <c r="FRR70" s="143"/>
      <c r="FRS70" s="145"/>
      <c r="FRT70" s="146"/>
      <c r="FRU70" s="147"/>
      <c r="FRV70"/>
      <c r="FRW70" s="148"/>
      <c r="FRX70"/>
      <c r="FRY70" s="140"/>
      <c r="FRZ70" s="149"/>
      <c r="FSA70"/>
      <c r="FSB70" s="142"/>
      <c r="FSC70" s="143"/>
      <c r="FSD70" s="144"/>
      <c r="FSE70" s="144"/>
      <c r="FSF70" s="143"/>
      <c r="FSG70" s="145"/>
      <c r="FSH70" s="143"/>
      <c r="FSI70" s="145"/>
      <c r="FSJ70" s="146"/>
      <c r="FSK70" s="147"/>
      <c r="FSL70"/>
      <c r="FSM70" s="148"/>
      <c r="FSN70"/>
      <c r="FSO70" s="140"/>
      <c r="FSP70" s="149"/>
      <c r="FSQ70"/>
      <c r="FSR70" s="142"/>
      <c r="FSS70" s="143"/>
      <c r="FST70" s="144"/>
      <c r="FSU70" s="144"/>
      <c r="FSV70" s="143"/>
      <c r="FSW70" s="145"/>
      <c r="FSX70" s="143"/>
      <c r="FSY70" s="145"/>
      <c r="FSZ70" s="146"/>
      <c r="FTA70" s="147"/>
      <c r="FTB70"/>
      <c r="FTC70" s="148"/>
      <c r="FTD70"/>
      <c r="FTE70" s="140"/>
      <c r="FTF70" s="149"/>
      <c r="FTG70"/>
      <c r="FTH70" s="142"/>
      <c r="FTI70" s="143"/>
      <c r="FTJ70" s="144"/>
      <c r="FTK70" s="144"/>
      <c r="FTL70" s="143"/>
      <c r="FTM70" s="145"/>
      <c r="FTN70" s="143"/>
      <c r="FTO70" s="145"/>
      <c r="FTP70" s="146"/>
      <c r="FTQ70" s="147"/>
      <c r="FTR70"/>
      <c r="FTS70" s="148"/>
      <c r="FTT70"/>
      <c r="FTU70" s="140"/>
      <c r="FTV70" s="149"/>
      <c r="FTW70"/>
      <c r="FTX70" s="142"/>
      <c r="FTY70" s="143"/>
      <c r="FTZ70" s="144"/>
      <c r="FUA70" s="144"/>
      <c r="FUB70" s="143"/>
      <c r="FUC70" s="145"/>
      <c r="FUD70" s="143"/>
      <c r="FUE70" s="145"/>
      <c r="FUF70" s="146"/>
      <c r="FUG70" s="147"/>
      <c r="FUH70"/>
      <c r="FUI70" s="148"/>
      <c r="FUJ70"/>
      <c r="FUK70" s="140"/>
      <c r="FUL70" s="149"/>
      <c r="FUM70"/>
      <c r="FUN70" s="142"/>
      <c r="FUO70" s="143"/>
      <c r="FUP70" s="144"/>
      <c r="FUQ70" s="144"/>
      <c r="FUR70" s="143"/>
      <c r="FUS70" s="145"/>
      <c r="FUT70" s="143"/>
      <c r="FUU70" s="145"/>
      <c r="FUV70" s="146"/>
      <c r="FUW70" s="147"/>
      <c r="FUX70"/>
      <c r="FUY70" s="148"/>
      <c r="FUZ70"/>
      <c r="FVA70" s="140"/>
      <c r="FVB70" s="149"/>
      <c r="FVC70"/>
      <c r="FVD70" s="142"/>
      <c r="FVE70" s="143"/>
      <c r="FVF70" s="144"/>
      <c r="FVG70" s="144"/>
      <c r="FVH70" s="143"/>
      <c r="FVI70" s="145"/>
      <c r="FVJ70" s="143"/>
      <c r="FVK70" s="145"/>
      <c r="FVL70" s="146"/>
      <c r="FVM70" s="147"/>
      <c r="FVN70"/>
      <c r="FVO70" s="148"/>
      <c r="FVP70"/>
      <c r="FVQ70" s="140"/>
      <c r="FVR70" s="149"/>
      <c r="FVS70"/>
      <c r="FVT70" s="142"/>
      <c r="FVU70" s="143"/>
      <c r="FVV70" s="144"/>
      <c r="FVW70" s="144"/>
      <c r="FVX70" s="143"/>
      <c r="FVY70" s="145"/>
      <c r="FVZ70" s="143"/>
      <c r="FWA70" s="145"/>
      <c r="FWB70" s="146"/>
      <c r="FWC70" s="147"/>
      <c r="FWD70"/>
      <c r="FWE70" s="148"/>
      <c r="FWF70"/>
      <c r="FWG70" s="140"/>
      <c r="FWH70" s="149"/>
      <c r="FWI70"/>
      <c r="FWJ70" s="142"/>
      <c r="FWK70" s="143"/>
      <c r="FWL70" s="144"/>
      <c r="FWM70" s="144"/>
      <c r="FWN70" s="143"/>
      <c r="FWO70" s="145"/>
      <c r="FWP70" s="143"/>
      <c r="FWQ70" s="145"/>
      <c r="FWR70" s="146"/>
      <c r="FWS70" s="147"/>
      <c r="FWT70"/>
      <c r="FWU70" s="148"/>
      <c r="FWV70"/>
      <c r="FWW70" s="140"/>
      <c r="FWX70" s="149"/>
      <c r="FWY70"/>
      <c r="FWZ70" s="142"/>
      <c r="FXA70" s="143"/>
      <c r="FXB70" s="144"/>
      <c r="FXC70" s="144"/>
      <c r="FXD70" s="143"/>
      <c r="FXE70" s="145"/>
      <c r="FXF70" s="143"/>
      <c r="FXG70" s="145"/>
      <c r="FXH70" s="146"/>
      <c r="FXI70" s="147"/>
      <c r="FXJ70"/>
      <c r="FXK70" s="148"/>
      <c r="FXL70"/>
      <c r="FXM70" s="140"/>
      <c r="FXN70" s="149"/>
      <c r="FXO70"/>
      <c r="FXP70" s="142"/>
      <c r="FXQ70" s="143"/>
      <c r="FXR70" s="144"/>
      <c r="FXS70" s="144"/>
      <c r="FXT70" s="143"/>
      <c r="FXU70" s="145"/>
      <c r="FXV70" s="143"/>
      <c r="FXW70" s="145"/>
      <c r="FXX70" s="146"/>
      <c r="FXY70" s="147"/>
      <c r="FXZ70"/>
      <c r="FYA70" s="148"/>
      <c r="FYB70"/>
      <c r="FYC70" s="140"/>
      <c r="FYD70" s="149"/>
      <c r="FYE70"/>
      <c r="FYF70" s="142"/>
      <c r="FYG70" s="143"/>
      <c r="FYH70" s="144"/>
      <c r="FYI70" s="144"/>
      <c r="FYJ70" s="143"/>
      <c r="FYK70" s="145"/>
      <c r="FYL70" s="143"/>
      <c r="FYM70" s="145"/>
      <c r="FYN70" s="146"/>
      <c r="FYO70" s="147"/>
      <c r="FYP70"/>
      <c r="FYQ70" s="148"/>
      <c r="FYR70"/>
      <c r="FYS70" s="140"/>
      <c r="FYT70" s="149"/>
      <c r="FYU70"/>
      <c r="FYV70" s="142"/>
      <c r="FYW70" s="143"/>
      <c r="FYX70" s="144"/>
      <c r="FYY70" s="144"/>
      <c r="FYZ70" s="143"/>
      <c r="FZA70" s="145"/>
      <c r="FZB70" s="143"/>
      <c r="FZC70" s="145"/>
      <c r="FZD70" s="146"/>
      <c r="FZE70" s="147"/>
      <c r="FZF70"/>
      <c r="FZG70" s="148"/>
      <c r="FZH70"/>
      <c r="FZI70" s="140"/>
      <c r="FZJ70" s="149"/>
      <c r="FZK70"/>
      <c r="FZL70" s="142"/>
      <c r="FZM70" s="143"/>
      <c r="FZN70" s="144"/>
      <c r="FZO70" s="144"/>
      <c r="FZP70" s="143"/>
      <c r="FZQ70" s="145"/>
      <c r="FZR70" s="143"/>
      <c r="FZS70" s="145"/>
      <c r="FZT70" s="146"/>
      <c r="FZU70" s="147"/>
      <c r="FZV70"/>
      <c r="FZW70" s="148"/>
      <c r="FZX70"/>
      <c r="FZY70" s="140"/>
      <c r="FZZ70" s="149"/>
      <c r="GAA70"/>
      <c r="GAB70" s="142"/>
      <c r="GAC70" s="143"/>
      <c r="GAD70" s="144"/>
      <c r="GAE70" s="144"/>
      <c r="GAF70" s="143"/>
      <c r="GAG70" s="145"/>
      <c r="GAH70" s="143"/>
      <c r="GAI70" s="145"/>
      <c r="GAJ70" s="146"/>
      <c r="GAK70" s="147"/>
      <c r="GAL70"/>
      <c r="GAM70" s="148"/>
      <c r="GAN70"/>
      <c r="GAO70" s="140"/>
      <c r="GAP70" s="149"/>
      <c r="GAQ70"/>
      <c r="GAR70" s="142"/>
      <c r="GAS70" s="143"/>
      <c r="GAT70" s="144"/>
      <c r="GAU70" s="144"/>
      <c r="GAV70" s="143"/>
      <c r="GAW70" s="145"/>
      <c r="GAX70" s="143"/>
      <c r="GAY70" s="145"/>
      <c r="GAZ70" s="146"/>
      <c r="GBA70" s="147"/>
      <c r="GBB70"/>
      <c r="GBC70" s="148"/>
      <c r="GBD70"/>
      <c r="GBE70" s="140"/>
      <c r="GBF70" s="149"/>
      <c r="GBG70"/>
      <c r="GBH70" s="142"/>
      <c r="GBI70" s="143"/>
      <c r="GBJ70" s="144"/>
      <c r="GBK70" s="144"/>
      <c r="GBL70" s="143"/>
      <c r="GBM70" s="145"/>
      <c r="GBN70" s="143"/>
      <c r="GBO70" s="145"/>
      <c r="GBP70" s="146"/>
      <c r="GBQ70" s="147"/>
      <c r="GBR70"/>
      <c r="GBS70" s="148"/>
      <c r="GBT70"/>
      <c r="GBU70" s="140"/>
      <c r="GBV70" s="149"/>
      <c r="GBW70"/>
      <c r="GBX70" s="142"/>
      <c r="GBY70" s="143"/>
      <c r="GBZ70" s="144"/>
      <c r="GCA70" s="144"/>
      <c r="GCB70" s="143"/>
      <c r="GCC70" s="145"/>
      <c r="GCD70" s="143"/>
      <c r="GCE70" s="145"/>
      <c r="GCF70" s="146"/>
      <c r="GCG70" s="147"/>
      <c r="GCH70"/>
      <c r="GCI70" s="148"/>
      <c r="GCJ70"/>
      <c r="GCK70" s="140"/>
      <c r="GCL70" s="149"/>
      <c r="GCM70"/>
      <c r="GCN70" s="142"/>
      <c r="GCO70" s="143"/>
      <c r="GCP70" s="144"/>
      <c r="GCQ70" s="144"/>
      <c r="GCR70" s="143"/>
      <c r="GCS70" s="145"/>
      <c r="GCT70" s="143"/>
      <c r="GCU70" s="145"/>
      <c r="GCV70" s="146"/>
      <c r="GCW70" s="147"/>
      <c r="GCX70"/>
      <c r="GCY70" s="148"/>
      <c r="GCZ70"/>
      <c r="GDA70" s="140"/>
      <c r="GDB70" s="149"/>
      <c r="GDC70"/>
      <c r="GDD70" s="142"/>
      <c r="GDE70" s="143"/>
      <c r="GDF70" s="144"/>
      <c r="GDG70" s="144"/>
      <c r="GDH70" s="143"/>
      <c r="GDI70" s="145"/>
      <c r="GDJ70" s="143"/>
      <c r="GDK70" s="145"/>
      <c r="GDL70" s="146"/>
      <c r="GDM70" s="147"/>
      <c r="GDN70"/>
      <c r="GDO70" s="148"/>
      <c r="GDP70"/>
      <c r="GDQ70" s="140"/>
      <c r="GDR70" s="149"/>
      <c r="GDS70"/>
      <c r="GDT70" s="142"/>
      <c r="GDU70" s="143"/>
      <c r="GDV70" s="144"/>
      <c r="GDW70" s="144"/>
      <c r="GDX70" s="143"/>
      <c r="GDY70" s="145"/>
      <c r="GDZ70" s="143"/>
      <c r="GEA70" s="145"/>
      <c r="GEB70" s="146"/>
      <c r="GEC70" s="147"/>
      <c r="GED70"/>
      <c r="GEE70" s="148"/>
      <c r="GEF70"/>
      <c r="GEG70" s="140"/>
      <c r="GEH70" s="149"/>
      <c r="GEI70"/>
      <c r="GEJ70" s="142"/>
      <c r="GEK70" s="143"/>
      <c r="GEL70" s="144"/>
      <c r="GEM70" s="144"/>
      <c r="GEN70" s="143"/>
      <c r="GEO70" s="145"/>
      <c r="GEP70" s="143"/>
      <c r="GEQ70" s="145"/>
      <c r="GER70" s="146"/>
      <c r="GES70" s="147"/>
      <c r="GET70"/>
      <c r="GEU70" s="148"/>
      <c r="GEV70"/>
      <c r="GEW70" s="140"/>
      <c r="GEX70" s="149"/>
      <c r="GEY70"/>
      <c r="GEZ70" s="142"/>
      <c r="GFA70" s="143"/>
      <c r="GFB70" s="144"/>
      <c r="GFC70" s="144"/>
      <c r="GFD70" s="143"/>
      <c r="GFE70" s="145"/>
      <c r="GFF70" s="143"/>
      <c r="GFG70" s="145"/>
      <c r="GFH70" s="146"/>
      <c r="GFI70" s="147"/>
      <c r="GFJ70"/>
      <c r="GFK70" s="148"/>
      <c r="GFL70"/>
      <c r="GFM70" s="140"/>
      <c r="GFN70" s="149"/>
      <c r="GFO70"/>
      <c r="GFP70" s="142"/>
      <c r="GFQ70" s="143"/>
      <c r="GFR70" s="144"/>
      <c r="GFS70" s="144"/>
      <c r="GFT70" s="143"/>
      <c r="GFU70" s="145"/>
      <c r="GFV70" s="143"/>
      <c r="GFW70" s="145"/>
      <c r="GFX70" s="146"/>
      <c r="GFY70" s="147"/>
      <c r="GFZ70"/>
      <c r="GGA70" s="148"/>
      <c r="GGB70"/>
      <c r="GGC70" s="140"/>
      <c r="GGD70" s="149"/>
      <c r="GGE70"/>
      <c r="GGF70" s="142"/>
      <c r="GGG70" s="143"/>
      <c r="GGH70" s="144"/>
      <c r="GGI70" s="144"/>
      <c r="GGJ70" s="143"/>
      <c r="GGK70" s="145"/>
      <c r="GGL70" s="143"/>
      <c r="GGM70" s="145"/>
      <c r="GGN70" s="146"/>
      <c r="GGO70" s="147"/>
      <c r="GGP70"/>
      <c r="GGQ70" s="148"/>
      <c r="GGR70"/>
      <c r="GGS70" s="140"/>
      <c r="GGT70" s="149"/>
      <c r="GGU70"/>
      <c r="GGV70" s="142"/>
      <c r="GGW70" s="143"/>
      <c r="GGX70" s="144"/>
      <c r="GGY70" s="144"/>
      <c r="GGZ70" s="143"/>
      <c r="GHA70" s="145"/>
      <c r="GHB70" s="143"/>
      <c r="GHC70" s="145"/>
      <c r="GHD70" s="146"/>
      <c r="GHE70" s="147"/>
      <c r="GHF70"/>
      <c r="GHG70" s="148"/>
      <c r="GHH70"/>
      <c r="GHI70" s="140"/>
      <c r="GHJ70" s="149"/>
      <c r="GHK70"/>
      <c r="GHL70" s="142"/>
      <c r="GHM70" s="143"/>
      <c r="GHN70" s="144"/>
      <c r="GHO70" s="144"/>
      <c r="GHP70" s="143"/>
      <c r="GHQ70" s="145"/>
      <c r="GHR70" s="143"/>
      <c r="GHS70" s="145"/>
      <c r="GHT70" s="146"/>
      <c r="GHU70" s="147"/>
      <c r="GHV70"/>
      <c r="GHW70" s="148"/>
      <c r="GHX70"/>
      <c r="GHY70" s="140"/>
      <c r="GHZ70" s="149"/>
      <c r="GIA70"/>
      <c r="GIB70" s="142"/>
      <c r="GIC70" s="143"/>
      <c r="GID70" s="144"/>
      <c r="GIE70" s="144"/>
      <c r="GIF70" s="143"/>
      <c r="GIG70" s="145"/>
      <c r="GIH70" s="143"/>
      <c r="GII70" s="145"/>
      <c r="GIJ70" s="146"/>
      <c r="GIK70" s="147"/>
      <c r="GIL70"/>
      <c r="GIM70" s="148"/>
      <c r="GIN70"/>
      <c r="GIO70" s="140"/>
      <c r="GIP70" s="149"/>
      <c r="GIQ70"/>
      <c r="GIR70" s="142"/>
      <c r="GIS70" s="143"/>
      <c r="GIT70" s="144"/>
      <c r="GIU70" s="144"/>
      <c r="GIV70" s="143"/>
      <c r="GIW70" s="145"/>
      <c r="GIX70" s="143"/>
      <c r="GIY70" s="145"/>
      <c r="GIZ70" s="146"/>
      <c r="GJA70" s="147"/>
      <c r="GJB70"/>
      <c r="GJC70" s="148"/>
      <c r="GJD70"/>
      <c r="GJE70" s="140"/>
      <c r="GJF70" s="149"/>
      <c r="GJG70"/>
      <c r="GJH70" s="142"/>
      <c r="GJI70" s="143"/>
      <c r="GJJ70" s="144"/>
      <c r="GJK70" s="144"/>
      <c r="GJL70" s="143"/>
      <c r="GJM70" s="145"/>
      <c r="GJN70" s="143"/>
      <c r="GJO70" s="145"/>
      <c r="GJP70" s="146"/>
      <c r="GJQ70" s="147"/>
      <c r="GJR70"/>
      <c r="GJS70" s="148"/>
      <c r="GJT70"/>
      <c r="GJU70" s="140"/>
      <c r="GJV70" s="149"/>
      <c r="GJW70"/>
      <c r="GJX70" s="142"/>
      <c r="GJY70" s="143"/>
      <c r="GJZ70" s="144"/>
      <c r="GKA70" s="144"/>
      <c r="GKB70" s="143"/>
      <c r="GKC70" s="145"/>
      <c r="GKD70" s="143"/>
      <c r="GKE70" s="145"/>
      <c r="GKF70" s="146"/>
      <c r="GKG70" s="147"/>
      <c r="GKH70"/>
      <c r="GKI70" s="148"/>
      <c r="GKJ70"/>
      <c r="GKK70" s="140"/>
      <c r="GKL70" s="149"/>
      <c r="GKM70"/>
      <c r="GKN70" s="142"/>
      <c r="GKO70" s="143"/>
      <c r="GKP70" s="144"/>
      <c r="GKQ70" s="144"/>
      <c r="GKR70" s="143"/>
      <c r="GKS70" s="145"/>
      <c r="GKT70" s="143"/>
      <c r="GKU70" s="145"/>
      <c r="GKV70" s="146"/>
      <c r="GKW70" s="147"/>
      <c r="GKX70"/>
      <c r="GKY70" s="148"/>
      <c r="GKZ70"/>
      <c r="GLA70" s="140"/>
      <c r="GLB70" s="149"/>
      <c r="GLC70"/>
      <c r="GLD70" s="142"/>
      <c r="GLE70" s="143"/>
      <c r="GLF70" s="144"/>
      <c r="GLG70" s="144"/>
      <c r="GLH70" s="143"/>
      <c r="GLI70" s="145"/>
      <c r="GLJ70" s="143"/>
      <c r="GLK70" s="145"/>
      <c r="GLL70" s="146"/>
      <c r="GLM70" s="147"/>
      <c r="GLN70"/>
      <c r="GLO70" s="148"/>
      <c r="GLP70"/>
      <c r="GLQ70" s="140"/>
      <c r="GLR70" s="149"/>
      <c r="GLS70"/>
      <c r="GLT70" s="142"/>
      <c r="GLU70" s="143"/>
      <c r="GLV70" s="144"/>
      <c r="GLW70" s="144"/>
      <c r="GLX70" s="143"/>
      <c r="GLY70" s="145"/>
      <c r="GLZ70" s="143"/>
      <c r="GMA70" s="145"/>
      <c r="GMB70" s="146"/>
      <c r="GMC70" s="147"/>
      <c r="GMD70"/>
      <c r="GME70" s="148"/>
      <c r="GMF70"/>
      <c r="GMG70" s="140"/>
      <c r="GMH70" s="149"/>
      <c r="GMI70"/>
      <c r="GMJ70" s="142"/>
      <c r="GMK70" s="143"/>
      <c r="GML70" s="144"/>
      <c r="GMM70" s="144"/>
      <c r="GMN70" s="143"/>
      <c r="GMO70" s="145"/>
      <c r="GMP70" s="143"/>
      <c r="GMQ70" s="145"/>
      <c r="GMR70" s="146"/>
      <c r="GMS70" s="147"/>
      <c r="GMT70"/>
      <c r="GMU70" s="148"/>
      <c r="GMV70"/>
      <c r="GMW70" s="140"/>
      <c r="GMX70" s="149"/>
      <c r="GMY70"/>
      <c r="GMZ70" s="142"/>
      <c r="GNA70" s="143"/>
      <c r="GNB70" s="144"/>
      <c r="GNC70" s="144"/>
      <c r="GND70" s="143"/>
      <c r="GNE70" s="145"/>
      <c r="GNF70" s="143"/>
      <c r="GNG70" s="145"/>
      <c r="GNH70" s="146"/>
      <c r="GNI70" s="147"/>
      <c r="GNJ70"/>
      <c r="GNK70" s="148"/>
      <c r="GNL70"/>
      <c r="GNM70" s="140"/>
      <c r="GNN70" s="149"/>
      <c r="GNO70"/>
      <c r="GNP70" s="142"/>
      <c r="GNQ70" s="143"/>
      <c r="GNR70" s="144"/>
      <c r="GNS70" s="144"/>
      <c r="GNT70" s="143"/>
      <c r="GNU70" s="145"/>
      <c r="GNV70" s="143"/>
      <c r="GNW70" s="145"/>
      <c r="GNX70" s="146"/>
      <c r="GNY70" s="147"/>
      <c r="GNZ70"/>
      <c r="GOA70" s="148"/>
      <c r="GOB70"/>
      <c r="GOC70" s="140"/>
      <c r="GOD70" s="149"/>
      <c r="GOE70"/>
      <c r="GOF70" s="142"/>
      <c r="GOG70" s="143"/>
      <c r="GOH70" s="144"/>
      <c r="GOI70" s="144"/>
      <c r="GOJ70" s="143"/>
      <c r="GOK70" s="145"/>
      <c r="GOL70" s="143"/>
      <c r="GOM70" s="145"/>
      <c r="GON70" s="146"/>
      <c r="GOO70" s="147"/>
      <c r="GOP70"/>
      <c r="GOQ70" s="148"/>
      <c r="GOR70"/>
      <c r="GOS70" s="140"/>
      <c r="GOT70" s="149"/>
      <c r="GOU70"/>
      <c r="GOV70" s="142"/>
      <c r="GOW70" s="143"/>
      <c r="GOX70" s="144"/>
      <c r="GOY70" s="144"/>
      <c r="GOZ70" s="143"/>
      <c r="GPA70" s="145"/>
      <c r="GPB70" s="143"/>
      <c r="GPC70" s="145"/>
      <c r="GPD70" s="146"/>
      <c r="GPE70" s="147"/>
      <c r="GPF70"/>
      <c r="GPG70" s="148"/>
      <c r="GPH70"/>
      <c r="GPI70" s="140"/>
      <c r="GPJ70" s="149"/>
      <c r="GPK70"/>
      <c r="GPL70" s="142"/>
      <c r="GPM70" s="143"/>
      <c r="GPN70" s="144"/>
      <c r="GPO70" s="144"/>
      <c r="GPP70" s="143"/>
      <c r="GPQ70" s="145"/>
      <c r="GPR70" s="143"/>
      <c r="GPS70" s="145"/>
      <c r="GPT70" s="146"/>
      <c r="GPU70" s="147"/>
      <c r="GPV70"/>
      <c r="GPW70" s="148"/>
      <c r="GPX70"/>
      <c r="GPY70" s="140"/>
      <c r="GPZ70" s="149"/>
      <c r="GQA70"/>
      <c r="GQB70" s="142"/>
      <c r="GQC70" s="143"/>
      <c r="GQD70" s="144"/>
      <c r="GQE70" s="144"/>
      <c r="GQF70" s="143"/>
      <c r="GQG70" s="145"/>
      <c r="GQH70" s="143"/>
      <c r="GQI70" s="145"/>
      <c r="GQJ70" s="146"/>
      <c r="GQK70" s="147"/>
      <c r="GQL70"/>
      <c r="GQM70" s="148"/>
      <c r="GQN70"/>
      <c r="GQO70" s="140"/>
      <c r="GQP70" s="149"/>
      <c r="GQQ70"/>
      <c r="GQR70" s="142"/>
      <c r="GQS70" s="143"/>
      <c r="GQT70" s="144"/>
      <c r="GQU70" s="144"/>
      <c r="GQV70" s="143"/>
      <c r="GQW70" s="145"/>
      <c r="GQX70" s="143"/>
      <c r="GQY70" s="145"/>
      <c r="GQZ70" s="146"/>
      <c r="GRA70" s="147"/>
      <c r="GRB70"/>
      <c r="GRC70" s="148"/>
      <c r="GRD70"/>
      <c r="GRE70" s="140"/>
      <c r="GRF70" s="149"/>
      <c r="GRG70"/>
      <c r="GRH70" s="142"/>
      <c r="GRI70" s="143"/>
      <c r="GRJ70" s="144"/>
      <c r="GRK70" s="144"/>
      <c r="GRL70" s="143"/>
      <c r="GRM70" s="145"/>
      <c r="GRN70" s="143"/>
      <c r="GRO70" s="145"/>
      <c r="GRP70" s="146"/>
      <c r="GRQ70" s="147"/>
      <c r="GRR70"/>
      <c r="GRS70" s="148"/>
      <c r="GRT70"/>
      <c r="GRU70" s="140"/>
      <c r="GRV70" s="149"/>
      <c r="GRW70"/>
      <c r="GRX70" s="142"/>
      <c r="GRY70" s="143"/>
      <c r="GRZ70" s="144"/>
      <c r="GSA70" s="144"/>
      <c r="GSB70" s="143"/>
      <c r="GSC70" s="145"/>
      <c r="GSD70" s="143"/>
      <c r="GSE70" s="145"/>
      <c r="GSF70" s="146"/>
      <c r="GSG70" s="147"/>
      <c r="GSH70"/>
      <c r="GSI70" s="148"/>
      <c r="GSJ70"/>
      <c r="GSK70" s="140"/>
      <c r="GSL70" s="149"/>
      <c r="GSM70"/>
      <c r="GSN70" s="142"/>
      <c r="GSO70" s="143"/>
      <c r="GSP70" s="144"/>
      <c r="GSQ70" s="144"/>
      <c r="GSR70" s="143"/>
      <c r="GSS70" s="145"/>
      <c r="GST70" s="143"/>
      <c r="GSU70" s="145"/>
      <c r="GSV70" s="146"/>
      <c r="GSW70" s="147"/>
      <c r="GSX70"/>
      <c r="GSY70" s="148"/>
      <c r="GSZ70"/>
      <c r="GTA70" s="140"/>
      <c r="GTB70" s="149"/>
      <c r="GTC70"/>
      <c r="GTD70" s="142"/>
      <c r="GTE70" s="143"/>
      <c r="GTF70" s="144"/>
      <c r="GTG70" s="144"/>
      <c r="GTH70" s="143"/>
      <c r="GTI70" s="145"/>
      <c r="GTJ70" s="143"/>
      <c r="GTK70" s="145"/>
      <c r="GTL70" s="146"/>
      <c r="GTM70" s="147"/>
      <c r="GTN70"/>
      <c r="GTO70" s="148"/>
      <c r="GTP70"/>
      <c r="GTQ70" s="140"/>
      <c r="GTR70" s="149"/>
      <c r="GTS70"/>
      <c r="GTT70" s="142"/>
      <c r="GTU70" s="143"/>
      <c r="GTV70" s="144"/>
      <c r="GTW70" s="144"/>
      <c r="GTX70" s="143"/>
      <c r="GTY70" s="145"/>
      <c r="GTZ70" s="143"/>
      <c r="GUA70" s="145"/>
      <c r="GUB70" s="146"/>
      <c r="GUC70" s="147"/>
      <c r="GUD70"/>
      <c r="GUE70" s="148"/>
      <c r="GUF70"/>
      <c r="GUG70" s="140"/>
      <c r="GUH70" s="149"/>
      <c r="GUI70"/>
      <c r="GUJ70" s="142"/>
      <c r="GUK70" s="143"/>
      <c r="GUL70" s="144"/>
      <c r="GUM70" s="144"/>
      <c r="GUN70" s="143"/>
      <c r="GUO70" s="145"/>
      <c r="GUP70" s="143"/>
      <c r="GUQ70" s="145"/>
      <c r="GUR70" s="146"/>
      <c r="GUS70" s="147"/>
      <c r="GUT70"/>
      <c r="GUU70" s="148"/>
      <c r="GUV70"/>
      <c r="GUW70" s="140"/>
      <c r="GUX70" s="149"/>
      <c r="GUY70"/>
      <c r="GUZ70" s="142"/>
      <c r="GVA70" s="143"/>
      <c r="GVB70" s="144"/>
      <c r="GVC70" s="144"/>
      <c r="GVD70" s="143"/>
      <c r="GVE70" s="145"/>
      <c r="GVF70" s="143"/>
      <c r="GVG70" s="145"/>
      <c r="GVH70" s="146"/>
      <c r="GVI70" s="147"/>
      <c r="GVJ70"/>
      <c r="GVK70" s="148"/>
      <c r="GVL70"/>
      <c r="GVM70" s="140"/>
      <c r="GVN70" s="149"/>
      <c r="GVO70"/>
      <c r="GVP70" s="142"/>
      <c r="GVQ70" s="143"/>
      <c r="GVR70" s="144"/>
      <c r="GVS70" s="144"/>
      <c r="GVT70" s="143"/>
      <c r="GVU70" s="145"/>
      <c r="GVV70" s="143"/>
      <c r="GVW70" s="145"/>
      <c r="GVX70" s="146"/>
      <c r="GVY70" s="147"/>
      <c r="GVZ70"/>
      <c r="GWA70" s="148"/>
      <c r="GWB70"/>
      <c r="GWC70" s="140"/>
      <c r="GWD70" s="149"/>
      <c r="GWE70"/>
      <c r="GWF70" s="142"/>
      <c r="GWG70" s="143"/>
      <c r="GWH70" s="144"/>
      <c r="GWI70" s="144"/>
      <c r="GWJ70" s="143"/>
      <c r="GWK70" s="145"/>
      <c r="GWL70" s="143"/>
      <c r="GWM70" s="145"/>
      <c r="GWN70" s="146"/>
      <c r="GWO70" s="147"/>
      <c r="GWP70"/>
      <c r="GWQ70" s="148"/>
      <c r="GWR70"/>
      <c r="GWS70" s="140"/>
      <c r="GWT70" s="149"/>
      <c r="GWU70"/>
      <c r="GWV70" s="142"/>
      <c r="GWW70" s="143"/>
      <c r="GWX70" s="144"/>
      <c r="GWY70" s="144"/>
      <c r="GWZ70" s="143"/>
      <c r="GXA70" s="145"/>
      <c r="GXB70" s="143"/>
      <c r="GXC70" s="145"/>
      <c r="GXD70" s="146"/>
      <c r="GXE70" s="147"/>
      <c r="GXF70"/>
      <c r="GXG70" s="148"/>
      <c r="GXH70"/>
      <c r="GXI70" s="140"/>
      <c r="GXJ70" s="149"/>
      <c r="GXK70"/>
      <c r="GXL70" s="142"/>
      <c r="GXM70" s="143"/>
      <c r="GXN70" s="144"/>
      <c r="GXO70" s="144"/>
      <c r="GXP70" s="143"/>
      <c r="GXQ70" s="145"/>
      <c r="GXR70" s="143"/>
      <c r="GXS70" s="145"/>
      <c r="GXT70" s="146"/>
      <c r="GXU70" s="147"/>
      <c r="GXV70"/>
      <c r="GXW70" s="148"/>
      <c r="GXX70"/>
      <c r="GXY70" s="140"/>
      <c r="GXZ70" s="149"/>
      <c r="GYA70"/>
      <c r="GYB70" s="142"/>
      <c r="GYC70" s="143"/>
      <c r="GYD70" s="144"/>
      <c r="GYE70" s="144"/>
      <c r="GYF70" s="143"/>
      <c r="GYG70" s="145"/>
      <c r="GYH70" s="143"/>
      <c r="GYI70" s="145"/>
      <c r="GYJ70" s="146"/>
      <c r="GYK70" s="147"/>
      <c r="GYL70"/>
      <c r="GYM70" s="148"/>
      <c r="GYN70"/>
      <c r="GYO70" s="140"/>
      <c r="GYP70" s="149"/>
      <c r="GYQ70"/>
      <c r="GYR70" s="142"/>
      <c r="GYS70" s="143"/>
      <c r="GYT70" s="144"/>
      <c r="GYU70" s="144"/>
      <c r="GYV70" s="143"/>
      <c r="GYW70" s="145"/>
      <c r="GYX70" s="143"/>
      <c r="GYY70" s="145"/>
      <c r="GYZ70" s="146"/>
      <c r="GZA70" s="147"/>
      <c r="GZB70"/>
      <c r="GZC70" s="148"/>
      <c r="GZD70"/>
      <c r="GZE70" s="140"/>
      <c r="GZF70" s="149"/>
      <c r="GZG70"/>
      <c r="GZH70" s="142"/>
      <c r="GZI70" s="143"/>
      <c r="GZJ70" s="144"/>
      <c r="GZK70" s="144"/>
      <c r="GZL70" s="143"/>
      <c r="GZM70" s="145"/>
      <c r="GZN70" s="143"/>
      <c r="GZO70" s="145"/>
      <c r="GZP70" s="146"/>
      <c r="GZQ70" s="147"/>
      <c r="GZR70"/>
      <c r="GZS70" s="148"/>
      <c r="GZT70"/>
      <c r="GZU70" s="140"/>
      <c r="GZV70" s="149"/>
      <c r="GZW70"/>
      <c r="GZX70" s="142"/>
      <c r="GZY70" s="143"/>
      <c r="GZZ70" s="144"/>
      <c r="HAA70" s="144"/>
      <c r="HAB70" s="143"/>
      <c r="HAC70" s="145"/>
      <c r="HAD70" s="143"/>
      <c r="HAE70" s="145"/>
      <c r="HAF70" s="146"/>
      <c r="HAG70" s="147"/>
      <c r="HAH70"/>
      <c r="HAI70" s="148"/>
      <c r="HAJ70"/>
      <c r="HAK70" s="140"/>
      <c r="HAL70" s="149"/>
      <c r="HAM70"/>
      <c r="HAN70" s="142"/>
      <c r="HAO70" s="143"/>
      <c r="HAP70" s="144"/>
      <c r="HAQ70" s="144"/>
      <c r="HAR70" s="143"/>
      <c r="HAS70" s="145"/>
      <c r="HAT70" s="143"/>
      <c r="HAU70" s="145"/>
      <c r="HAV70" s="146"/>
      <c r="HAW70" s="147"/>
      <c r="HAX70"/>
      <c r="HAY70" s="148"/>
      <c r="HAZ70"/>
      <c r="HBA70" s="140"/>
      <c r="HBB70" s="149"/>
      <c r="HBC70"/>
      <c r="HBD70" s="142"/>
      <c r="HBE70" s="143"/>
      <c r="HBF70" s="144"/>
      <c r="HBG70" s="144"/>
      <c r="HBH70" s="143"/>
      <c r="HBI70" s="145"/>
      <c r="HBJ70" s="143"/>
      <c r="HBK70" s="145"/>
      <c r="HBL70" s="146"/>
      <c r="HBM70" s="147"/>
      <c r="HBN70"/>
      <c r="HBO70" s="148"/>
      <c r="HBP70"/>
      <c r="HBQ70" s="140"/>
      <c r="HBR70" s="149"/>
      <c r="HBS70"/>
      <c r="HBT70" s="142"/>
      <c r="HBU70" s="143"/>
      <c r="HBV70" s="144"/>
      <c r="HBW70" s="144"/>
      <c r="HBX70" s="143"/>
      <c r="HBY70" s="145"/>
      <c r="HBZ70" s="143"/>
      <c r="HCA70" s="145"/>
      <c r="HCB70" s="146"/>
      <c r="HCC70" s="147"/>
      <c r="HCD70"/>
      <c r="HCE70" s="148"/>
      <c r="HCF70"/>
      <c r="HCG70" s="140"/>
      <c r="HCH70" s="149"/>
      <c r="HCI70"/>
      <c r="HCJ70" s="142"/>
      <c r="HCK70" s="143"/>
      <c r="HCL70" s="144"/>
      <c r="HCM70" s="144"/>
      <c r="HCN70" s="143"/>
      <c r="HCO70" s="145"/>
      <c r="HCP70" s="143"/>
      <c r="HCQ70" s="145"/>
      <c r="HCR70" s="146"/>
      <c r="HCS70" s="147"/>
      <c r="HCT70"/>
      <c r="HCU70" s="148"/>
      <c r="HCV70"/>
      <c r="HCW70" s="140"/>
      <c r="HCX70" s="149"/>
      <c r="HCY70"/>
      <c r="HCZ70" s="142"/>
      <c r="HDA70" s="143"/>
      <c r="HDB70" s="144"/>
      <c r="HDC70" s="144"/>
      <c r="HDD70" s="143"/>
      <c r="HDE70" s="145"/>
      <c r="HDF70" s="143"/>
      <c r="HDG70" s="145"/>
      <c r="HDH70" s="146"/>
      <c r="HDI70" s="147"/>
      <c r="HDJ70"/>
      <c r="HDK70" s="148"/>
      <c r="HDL70"/>
      <c r="HDM70" s="140"/>
      <c r="HDN70" s="149"/>
      <c r="HDO70"/>
      <c r="HDP70" s="142"/>
      <c r="HDQ70" s="143"/>
      <c r="HDR70" s="144"/>
      <c r="HDS70" s="144"/>
      <c r="HDT70" s="143"/>
      <c r="HDU70" s="145"/>
      <c r="HDV70" s="143"/>
      <c r="HDW70" s="145"/>
      <c r="HDX70" s="146"/>
      <c r="HDY70" s="147"/>
      <c r="HDZ70"/>
      <c r="HEA70" s="148"/>
      <c r="HEB70"/>
      <c r="HEC70" s="140"/>
      <c r="HED70" s="149"/>
      <c r="HEE70"/>
      <c r="HEF70" s="142"/>
      <c r="HEG70" s="143"/>
      <c r="HEH70" s="144"/>
      <c r="HEI70" s="144"/>
      <c r="HEJ70" s="143"/>
      <c r="HEK70" s="145"/>
      <c r="HEL70" s="143"/>
      <c r="HEM70" s="145"/>
      <c r="HEN70" s="146"/>
      <c r="HEO70" s="147"/>
      <c r="HEP70"/>
      <c r="HEQ70" s="148"/>
      <c r="HER70"/>
      <c r="HES70" s="140"/>
      <c r="HET70" s="149"/>
      <c r="HEU70"/>
      <c r="HEV70" s="142"/>
      <c r="HEW70" s="143"/>
      <c r="HEX70" s="144"/>
      <c r="HEY70" s="144"/>
      <c r="HEZ70" s="143"/>
      <c r="HFA70" s="145"/>
      <c r="HFB70" s="143"/>
      <c r="HFC70" s="145"/>
      <c r="HFD70" s="146"/>
      <c r="HFE70" s="147"/>
      <c r="HFF70"/>
      <c r="HFG70" s="148"/>
      <c r="HFH70"/>
      <c r="HFI70" s="140"/>
      <c r="HFJ70" s="149"/>
      <c r="HFK70"/>
      <c r="HFL70" s="142"/>
      <c r="HFM70" s="143"/>
      <c r="HFN70" s="144"/>
      <c r="HFO70" s="144"/>
      <c r="HFP70" s="143"/>
      <c r="HFQ70" s="145"/>
      <c r="HFR70" s="143"/>
      <c r="HFS70" s="145"/>
      <c r="HFT70" s="146"/>
      <c r="HFU70" s="147"/>
      <c r="HFV70"/>
      <c r="HFW70" s="148"/>
      <c r="HFX70"/>
      <c r="HFY70" s="140"/>
      <c r="HFZ70" s="149"/>
      <c r="HGA70"/>
      <c r="HGB70" s="142"/>
      <c r="HGC70" s="143"/>
      <c r="HGD70" s="144"/>
      <c r="HGE70" s="144"/>
      <c r="HGF70" s="143"/>
      <c r="HGG70" s="145"/>
      <c r="HGH70" s="143"/>
      <c r="HGI70" s="145"/>
      <c r="HGJ70" s="146"/>
      <c r="HGK70" s="147"/>
      <c r="HGL70"/>
      <c r="HGM70" s="148"/>
      <c r="HGN70"/>
      <c r="HGO70" s="140"/>
      <c r="HGP70" s="149"/>
      <c r="HGQ70"/>
      <c r="HGR70" s="142"/>
      <c r="HGS70" s="143"/>
      <c r="HGT70" s="144"/>
      <c r="HGU70" s="144"/>
      <c r="HGV70" s="143"/>
      <c r="HGW70" s="145"/>
      <c r="HGX70" s="143"/>
      <c r="HGY70" s="145"/>
      <c r="HGZ70" s="146"/>
      <c r="HHA70" s="147"/>
      <c r="HHB70"/>
      <c r="HHC70" s="148"/>
      <c r="HHD70"/>
      <c r="HHE70" s="140"/>
      <c r="HHF70" s="149"/>
      <c r="HHG70"/>
      <c r="HHH70" s="142"/>
      <c r="HHI70" s="143"/>
      <c r="HHJ70" s="144"/>
      <c r="HHK70" s="144"/>
      <c r="HHL70" s="143"/>
      <c r="HHM70" s="145"/>
      <c r="HHN70" s="143"/>
      <c r="HHO70" s="145"/>
      <c r="HHP70" s="146"/>
      <c r="HHQ70" s="147"/>
      <c r="HHR70"/>
      <c r="HHS70" s="148"/>
      <c r="HHT70"/>
      <c r="HHU70" s="140"/>
      <c r="HHV70" s="149"/>
      <c r="HHW70"/>
      <c r="HHX70" s="142"/>
      <c r="HHY70" s="143"/>
      <c r="HHZ70" s="144"/>
      <c r="HIA70" s="144"/>
      <c r="HIB70" s="143"/>
      <c r="HIC70" s="145"/>
      <c r="HID70" s="143"/>
      <c r="HIE70" s="145"/>
      <c r="HIF70" s="146"/>
      <c r="HIG70" s="147"/>
      <c r="HIH70"/>
      <c r="HII70" s="148"/>
      <c r="HIJ70"/>
      <c r="HIK70" s="140"/>
      <c r="HIL70" s="149"/>
      <c r="HIM70"/>
      <c r="HIN70" s="142"/>
      <c r="HIO70" s="143"/>
      <c r="HIP70" s="144"/>
      <c r="HIQ70" s="144"/>
      <c r="HIR70" s="143"/>
      <c r="HIS70" s="145"/>
      <c r="HIT70" s="143"/>
      <c r="HIU70" s="145"/>
      <c r="HIV70" s="146"/>
      <c r="HIW70" s="147"/>
      <c r="HIX70"/>
      <c r="HIY70" s="148"/>
      <c r="HIZ70"/>
      <c r="HJA70" s="140"/>
      <c r="HJB70" s="149"/>
      <c r="HJC70"/>
      <c r="HJD70" s="142"/>
      <c r="HJE70" s="143"/>
      <c r="HJF70" s="144"/>
      <c r="HJG70" s="144"/>
      <c r="HJH70" s="143"/>
      <c r="HJI70" s="145"/>
      <c r="HJJ70" s="143"/>
      <c r="HJK70" s="145"/>
      <c r="HJL70" s="146"/>
      <c r="HJM70" s="147"/>
      <c r="HJN70"/>
      <c r="HJO70" s="148"/>
      <c r="HJP70"/>
      <c r="HJQ70" s="140"/>
      <c r="HJR70" s="149"/>
      <c r="HJS70"/>
      <c r="HJT70" s="142"/>
      <c r="HJU70" s="143"/>
      <c r="HJV70" s="144"/>
      <c r="HJW70" s="144"/>
      <c r="HJX70" s="143"/>
      <c r="HJY70" s="145"/>
      <c r="HJZ70" s="143"/>
      <c r="HKA70" s="145"/>
      <c r="HKB70" s="146"/>
      <c r="HKC70" s="147"/>
      <c r="HKD70"/>
      <c r="HKE70" s="148"/>
      <c r="HKF70"/>
      <c r="HKG70" s="140"/>
      <c r="HKH70" s="149"/>
      <c r="HKI70"/>
      <c r="HKJ70" s="142"/>
      <c r="HKK70" s="143"/>
      <c r="HKL70" s="144"/>
      <c r="HKM70" s="144"/>
      <c r="HKN70" s="143"/>
      <c r="HKO70" s="145"/>
      <c r="HKP70" s="143"/>
      <c r="HKQ70" s="145"/>
      <c r="HKR70" s="146"/>
      <c r="HKS70" s="147"/>
      <c r="HKT70"/>
      <c r="HKU70" s="148"/>
      <c r="HKV70"/>
      <c r="HKW70" s="140"/>
      <c r="HKX70" s="149"/>
      <c r="HKY70"/>
      <c r="HKZ70" s="142"/>
      <c r="HLA70" s="143"/>
      <c r="HLB70" s="144"/>
      <c r="HLC70" s="144"/>
      <c r="HLD70" s="143"/>
      <c r="HLE70" s="145"/>
      <c r="HLF70" s="143"/>
      <c r="HLG70" s="145"/>
      <c r="HLH70" s="146"/>
      <c r="HLI70" s="147"/>
      <c r="HLJ70"/>
      <c r="HLK70" s="148"/>
      <c r="HLL70"/>
      <c r="HLM70" s="140"/>
      <c r="HLN70" s="149"/>
      <c r="HLO70"/>
      <c r="HLP70" s="142"/>
      <c r="HLQ70" s="143"/>
      <c r="HLR70" s="144"/>
      <c r="HLS70" s="144"/>
      <c r="HLT70" s="143"/>
      <c r="HLU70" s="145"/>
      <c r="HLV70" s="143"/>
      <c r="HLW70" s="145"/>
      <c r="HLX70" s="146"/>
      <c r="HLY70" s="147"/>
      <c r="HLZ70"/>
      <c r="HMA70" s="148"/>
      <c r="HMB70"/>
      <c r="HMC70" s="140"/>
      <c r="HMD70" s="149"/>
      <c r="HME70"/>
      <c r="HMF70" s="142"/>
      <c r="HMG70" s="143"/>
      <c r="HMH70" s="144"/>
      <c r="HMI70" s="144"/>
      <c r="HMJ70" s="143"/>
      <c r="HMK70" s="145"/>
      <c r="HML70" s="143"/>
      <c r="HMM70" s="145"/>
      <c r="HMN70" s="146"/>
      <c r="HMO70" s="147"/>
      <c r="HMP70"/>
      <c r="HMQ70" s="148"/>
      <c r="HMR70"/>
      <c r="HMS70" s="140"/>
      <c r="HMT70" s="149"/>
      <c r="HMU70"/>
      <c r="HMV70" s="142"/>
      <c r="HMW70" s="143"/>
      <c r="HMX70" s="144"/>
      <c r="HMY70" s="144"/>
      <c r="HMZ70" s="143"/>
      <c r="HNA70" s="145"/>
      <c r="HNB70" s="143"/>
      <c r="HNC70" s="145"/>
      <c r="HND70" s="146"/>
      <c r="HNE70" s="147"/>
      <c r="HNF70"/>
      <c r="HNG70" s="148"/>
      <c r="HNH70"/>
      <c r="HNI70" s="140"/>
      <c r="HNJ70" s="149"/>
      <c r="HNK70"/>
      <c r="HNL70" s="142"/>
      <c r="HNM70" s="143"/>
      <c r="HNN70" s="144"/>
      <c r="HNO70" s="144"/>
      <c r="HNP70" s="143"/>
      <c r="HNQ70" s="145"/>
      <c r="HNR70" s="143"/>
      <c r="HNS70" s="145"/>
      <c r="HNT70" s="146"/>
      <c r="HNU70" s="147"/>
      <c r="HNV70"/>
      <c r="HNW70" s="148"/>
      <c r="HNX70"/>
      <c r="HNY70" s="140"/>
      <c r="HNZ70" s="149"/>
      <c r="HOA70"/>
      <c r="HOB70" s="142"/>
      <c r="HOC70" s="143"/>
      <c r="HOD70" s="144"/>
      <c r="HOE70" s="144"/>
      <c r="HOF70" s="143"/>
      <c r="HOG70" s="145"/>
      <c r="HOH70" s="143"/>
      <c r="HOI70" s="145"/>
      <c r="HOJ70" s="146"/>
      <c r="HOK70" s="147"/>
      <c r="HOL70"/>
      <c r="HOM70" s="148"/>
      <c r="HON70"/>
      <c r="HOO70" s="140"/>
      <c r="HOP70" s="149"/>
      <c r="HOQ70"/>
      <c r="HOR70" s="142"/>
      <c r="HOS70" s="143"/>
      <c r="HOT70" s="144"/>
      <c r="HOU70" s="144"/>
      <c r="HOV70" s="143"/>
      <c r="HOW70" s="145"/>
      <c r="HOX70" s="143"/>
      <c r="HOY70" s="145"/>
      <c r="HOZ70" s="146"/>
      <c r="HPA70" s="147"/>
      <c r="HPB70"/>
      <c r="HPC70" s="148"/>
      <c r="HPD70"/>
      <c r="HPE70" s="140"/>
      <c r="HPF70" s="149"/>
      <c r="HPG70"/>
      <c r="HPH70" s="142"/>
      <c r="HPI70" s="143"/>
      <c r="HPJ70" s="144"/>
      <c r="HPK70" s="144"/>
      <c r="HPL70" s="143"/>
      <c r="HPM70" s="145"/>
      <c r="HPN70" s="143"/>
      <c r="HPO70" s="145"/>
      <c r="HPP70" s="146"/>
      <c r="HPQ70" s="147"/>
      <c r="HPR70"/>
      <c r="HPS70" s="148"/>
      <c r="HPT70"/>
      <c r="HPU70" s="140"/>
      <c r="HPV70" s="149"/>
      <c r="HPW70"/>
      <c r="HPX70" s="142"/>
      <c r="HPY70" s="143"/>
      <c r="HPZ70" s="144"/>
      <c r="HQA70" s="144"/>
      <c r="HQB70" s="143"/>
      <c r="HQC70" s="145"/>
      <c r="HQD70" s="143"/>
      <c r="HQE70" s="145"/>
      <c r="HQF70" s="146"/>
      <c r="HQG70" s="147"/>
      <c r="HQH70"/>
      <c r="HQI70" s="148"/>
      <c r="HQJ70"/>
      <c r="HQK70" s="140"/>
      <c r="HQL70" s="149"/>
      <c r="HQM70"/>
      <c r="HQN70" s="142"/>
      <c r="HQO70" s="143"/>
      <c r="HQP70" s="144"/>
      <c r="HQQ70" s="144"/>
      <c r="HQR70" s="143"/>
      <c r="HQS70" s="145"/>
      <c r="HQT70" s="143"/>
      <c r="HQU70" s="145"/>
      <c r="HQV70" s="146"/>
      <c r="HQW70" s="147"/>
      <c r="HQX70"/>
      <c r="HQY70" s="148"/>
      <c r="HQZ70"/>
      <c r="HRA70" s="140"/>
      <c r="HRB70" s="149"/>
      <c r="HRC70"/>
      <c r="HRD70" s="142"/>
      <c r="HRE70" s="143"/>
      <c r="HRF70" s="144"/>
      <c r="HRG70" s="144"/>
      <c r="HRH70" s="143"/>
      <c r="HRI70" s="145"/>
      <c r="HRJ70" s="143"/>
      <c r="HRK70" s="145"/>
      <c r="HRL70" s="146"/>
      <c r="HRM70" s="147"/>
      <c r="HRN70"/>
      <c r="HRO70" s="148"/>
      <c r="HRP70"/>
      <c r="HRQ70" s="140"/>
      <c r="HRR70" s="149"/>
      <c r="HRS70"/>
      <c r="HRT70" s="142"/>
      <c r="HRU70" s="143"/>
      <c r="HRV70" s="144"/>
      <c r="HRW70" s="144"/>
      <c r="HRX70" s="143"/>
      <c r="HRY70" s="145"/>
      <c r="HRZ70" s="143"/>
      <c r="HSA70" s="145"/>
      <c r="HSB70" s="146"/>
      <c r="HSC70" s="147"/>
      <c r="HSD70"/>
      <c r="HSE70" s="148"/>
      <c r="HSF70"/>
      <c r="HSG70" s="140"/>
      <c r="HSH70" s="149"/>
      <c r="HSI70"/>
      <c r="HSJ70" s="142"/>
      <c r="HSK70" s="143"/>
      <c r="HSL70" s="144"/>
      <c r="HSM70" s="144"/>
      <c r="HSN70" s="143"/>
      <c r="HSO70" s="145"/>
      <c r="HSP70" s="143"/>
      <c r="HSQ70" s="145"/>
      <c r="HSR70" s="146"/>
      <c r="HSS70" s="147"/>
      <c r="HST70"/>
      <c r="HSU70" s="148"/>
      <c r="HSV70"/>
      <c r="HSW70" s="140"/>
      <c r="HSX70" s="149"/>
      <c r="HSY70"/>
      <c r="HSZ70" s="142"/>
      <c r="HTA70" s="143"/>
      <c r="HTB70" s="144"/>
      <c r="HTC70" s="144"/>
      <c r="HTD70" s="143"/>
      <c r="HTE70" s="145"/>
      <c r="HTF70" s="143"/>
      <c r="HTG70" s="145"/>
      <c r="HTH70" s="146"/>
      <c r="HTI70" s="147"/>
      <c r="HTJ70"/>
      <c r="HTK70" s="148"/>
      <c r="HTL70"/>
      <c r="HTM70" s="140"/>
      <c r="HTN70" s="149"/>
      <c r="HTO70"/>
      <c r="HTP70" s="142"/>
      <c r="HTQ70" s="143"/>
      <c r="HTR70" s="144"/>
      <c r="HTS70" s="144"/>
      <c r="HTT70" s="143"/>
      <c r="HTU70" s="145"/>
      <c r="HTV70" s="143"/>
      <c r="HTW70" s="145"/>
      <c r="HTX70" s="146"/>
      <c r="HTY70" s="147"/>
      <c r="HTZ70"/>
      <c r="HUA70" s="148"/>
      <c r="HUB70"/>
      <c r="HUC70" s="140"/>
      <c r="HUD70" s="149"/>
      <c r="HUE70"/>
      <c r="HUF70" s="142"/>
      <c r="HUG70" s="143"/>
      <c r="HUH70" s="144"/>
      <c r="HUI70" s="144"/>
      <c r="HUJ70" s="143"/>
      <c r="HUK70" s="145"/>
      <c r="HUL70" s="143"/>
      <c r="HUM70" s="145"/>
      <c r="HUN70" s="146"/>
      <c r="HUO70" s="147"/>
      <c r="HUP70"/>
      <c r="HUQ70" s="148"/>
      <c r="HUR70"/>
      <c r="HUS70" s="140"/>
      <c r="HUT70" s="149"/>
      <c r="HUU70"/>
      <c r="HUV70" s="142"/>
      <c r="HUW70" s="143"/>
      <c r="HUX70" s="144"/>
      <c r="HUY70" s="144"/>
      <c r="HUZ70" s="143"/>
      <c r="HVA70" s="145"/>
      <c r="HVB70" s="143"/>
      <c r="HVC70" s="145"/>
      <c r="HVD70" s="146"/>
      <c r="HVE70" s="147"/>
      <c r="HVF70"/>
      <c r="HVG70" s="148"/>
      <c r="HVH70"/>
      <c r="HVI70" s="140"/>
      <c r="HVJ70" s="149"/>
      <c r="HVK70"/>
      <c r="HVL70" s="142"/>
      <c r="HVM70" s="143"/>
      <c r="HVN70" s="144"/>
      <c r="HVO70" s="144"/>
      <c r="HVP70" s="143"/>
      <c r="HVQ70" s="145"/>
      <c r="HVR70" s="143"/>
      <c r="HVS70" s="145"/>
      <c r="HVT70" s="146"/>
      <c r="HVU70" s="147"/>
      <c r="HVV70"/>
      <c r="HVW70" s="148"/>
      <c r="HVX70"/>
      <c r="HVY70" s="140"/>
      <c r="HVZ70" s="149"/>
      <c r="HWA70"/>
      <c r="HWB70" s="142"/>
      <c r="HWC70" s="143"/>
      <c r="HWD70" s="144"/>
      <c r="HWE70" s="144"/>
      <c r="HWF70" s="143"/>
      <c r="HWG70" s="145"/>
      <c r="HWH70" s="143"/>
      <c r="HWI70" s="145"/>
      <c r="HWJ70" s="146"/>
      <c r="HWK70" s="147"/>
      <c r="HWL70"/>
      <c r="HWM70" s="148"/>
      <c r="HWN70"/>
      <c r="HWO70" s="140"/>
      <c r="HWP70" s="149"/>
      <c r="HWQ70"/>
      <c r="HWR70" s="142"/>
      <c r="HWS70" s="143"/>
      <c r="HWT70" s="144"/>
      <c r="HWU70" s="144"/>
      <c r="HWV70" s="143"/>
      <c r="HWW70" s="145"/>
      <c r="HWX70" s="143"/>
      <c r="HWY70" s="145"/>
      <c r="HWZ70" s="146"/>
      <c r="HXA70" s="147"/>
      <c r="HXB70"/>
      <c r="HXC70" s="148"/>
      <c r="HXD70"/>
      <c r="HXE70" s="140"/>
      <c r="HXF70" s="149"/>
      <c r="HXG70"/>
      <c r="HXH70" s="142"/>
      <c r="HXI70" s="143"/>
      <c r="HXJ70" s="144"/>
      <c r="HXK70" s="144"/>
      <c r="HXL70" s="143"/>
      <c r="HXM70" s="145"/>
      <c r="HXN70" s="143"/>
      <c r="HXO70" s="145"/>
      <c r="HXP70" s="146"/>
      <c r="HXQ70" s="147"/>
      <c r="HXR70"/>
      <c r="HXS70" s="148"/>
      <c r="HXT70"/>
      <c r="HXU70" s="140"/>
      <c r="HXV70" s="149"/>
      <c r="HXW70"/>
      <c r="HXX70" s="142"/>
      <c r="HXY70" s="143"/>
      <c r="HXZ70" s="144"/>
      <c r="HYA70" s="144"/>
      <c r="HYB70" s="143"/>
      <c r="HYC70" s="145"/>
      <c r="HYD70" s="143"/>
      <c r="HYE70" s="145"/>
      <c r="HYF70" s="146"/>
      <c r="HYG70" s="147"/>
      <c r="HYH70"/>
      <c r="HYI70" s="148"/>
      <c r="HYJ70"/>
      <c r="HYK70" s="140"/>
      <c r="HYL70" s="149"/>
      <c r="HYM70"/>
      <c r="HYN70" s="142"/>
      <c r="HYO70" s="143"/>
      <c r="HYP70" s="144"/>
      <c r="HYQ70" s="144"/>
      <c r="HYR70" s="143"/>
      <c r="HYS70" s="145"/>
      <c r="HYT70" s="143"/>
      <c r="HYU70" s="145"/>
      <c r="HYV70" s="146"/>
      <c r="HYW70" s="147"/>
      <c r="HYX70"/>
      <c r="HYY70" s="148"/>
      <c r="HYZ70"/>
      <c r="HZA70" s="140"/>
      <c r="HZB70" s="149"/>
      <c r="HZC70"/>
      <c r="HZD70" s="142"/>
      <c r="HZE70" s="143"/>
      <c r="HZF70" s="144"/>
      <c r="HZG70" s="144"/>
      <c r="HZH70" s="143"/>
      <c r="HZI70" s="145"/>
      <c r="HZJ70" s="143"/>
      <c r="HZK70" s="145"/>
      <c r="HZL70" s="146"/>
      <c r="HZM70" s="147"/>
      <c r="HZN70"/>
      <c r="HZO70" s="148"/>
      <c r="HZP70"/>
      <c r="HZQ70" s="140"/>
      <c r="HZR70" s="149"/>
      <c r="HZS70"/>
      <c r="HZT70" s="142"/>
      <c r="HZU70" s="143"/>
      <c r="HZV70" s="144"/>
      <c r="HZW70" s="144"/>
      <c r="HZX70" s="143"/>
      <c r="HZY70" s="145"/>
      <c r="HZZ70" s="143"/>
      <c r="IAA70" s="145"/>
      <c r="IAB70" s="146"/>
      <c r="IAC70" s="147"/>
      <c r="IAD70"/>
      <c r="IAE70" s="148"/>
      <c r="IAF70"/>
      <c r="IAG70" s="140"/>
      <c r="IAH70" s="149"/>
      <c r="IAI70"/>
      <c r="IAJ70" s="142"/>
      <c r="IAK70" s="143"/>
      <c r="IAL70" s="144"/>
      <c r="IAM70" s="144"/>
      <c r="IAN70" s="143"/>
      <c r="IAO70" s="145"/>
      <c r="IAP70" s="143"/>
      <c r="IAQ70" s="145"/>
      <c r="IAR70" s="146"/>
      <c r="IAS70" s="147"/>
      <c r="IAT70"/>
      <c r="IAU70" s="148"/>
      <c r="IAV70"/>
      <c r="IAW70" s="140"/>
      <c r="IAX70" s="149"/>
      <c r="IAY70"/>
      <c r="IAZ70" s="142"/>
      <c r="IBA70" s="143"/>
      <c r="IBB70" s="144"/>
      <c r="IBC70" s="144"/>
      <c r="IBD70" s="143"/>
      <c r="IBE70" s="145"/>
      <c r="IBF70" s="143"/>
      <c r="IBG70" s="145"/>
      <c r="IBH70" s="146"/>
      <c r="IBI70" s="147"/>
      <c r="IBJ70"/>
      <c r="IBK70" s="148"/>
      <c r="IBL70"/>
      <c r="IBM70" s="140"/>
      <c r="IBN70" s="149"/>
      <c r="IBO70"/>
      <c r="IBP70" s="142"/>
      <c r="IBQ70" s="143"/>
      <c r="IBR70" s="144"/>
      <c r="IBS70" s="144"/>
      <c r="IBT70" s="143"/>
      <c r="IBU70" s="145"/>
      <c r="IBV70" s="143"/>
      <c r="IBW70" s="145"/>
      <c r="IBX70" s="146"/>
      <c r="IBY70" s="147"/>
      <c r="IBZ70"/>
      <c r="ICA70" s="148"/>
      <c r="ICB70"/>
      <c r="ICC70" s="140"/>
      <c r="ICD70" s="149"/>
      <c r="ICE70"/>
      <c r="ICF70" s="142"/>
      <c r="ICG70" s="143"/>
      <c r="ICH70" s="144"/>
      <c r="ICI70" s="144"/>
      <c r="ICJ70" s="143"/>
      <c r="ICK70" s="145"/>
      <c r="ICL70" s="143"/>
      <c r="ICM70" s="145"/>
      <c r="ICN70" s="146"/>
      <c r="ICO70" s="147"/>
      <c r="ICP70"/>
      <c r="ICQ70" s="148"/>
      <c r="ICR70"/>
      <c r="ICS70" s="140"/>
      <c r="ICT70" s="149"/>
      <c r="ICU70"/>
      <c r="ICV70" s="142"/>
      <c r="ICW70" s="143"/>
      <c r="ICX70" s="144"/>
      <c r="ICY70" s="144"/>
      <c r="ICZ70" s="143"/>
      <c r="IDA70" s="145"/>
      <c r="IDB70" s="143"/>
      <c r="IDC70" s="145"/>
      <c r="IDD70" s="146"/>
      <c r="IDE70" s="147"/>
      <c r="IDF70"/>
      <c r="IDG70" s="148"/>
      <c r="IDH70"/>
      <c r="IDI70" s="140"/>
      <c r="IDJ70" s="149"/>
      <c r="IDK70"/>
      <c r="IDL70" s="142"/>
      <c r="IDM70" s="143"/>
      <c r="IDN70" s="144"/>
      <c r="IDO70" s="144"/>
      <c r="IDP70" s="143"/>
      <c r="IDQ70" s="145"/>
      <c r="IDR70" s="143"/>
      <c r="IDS70" s="145"/>
      <c r="IDT70" s="146"/>
      <c r="IDU70" s="147"/>
      <c r="IDV70"/>
      <c r="IDW70" s="148"/>
      <c r="IDX70"/>
      <c r="IDY70" s="140"/>
      <c r="IDZ70" s="149"/>
      <c r="IEA70"/>
      <c r="IEB70" s="142"/>
      <c r="IEC70" s="143"/>
      <c r="IED70" s="144"/>
      <c r="IEE70" s="144"/>
      <c r="IEF70" s="143"/>
      <c r="IEG70" s="145"/>
      <c r="IEH70" s="143"/>
      <c r="IEI70" s="145"/>
      <c r="IEJ70" s="146"/>
      <c r="IEK70" s="147"/>
      <c r="IEL70"/>
      <c r="IEM70" s="148"/>
      <c r="IEN70"/>
      <c r="IEO70" s="140"/>
      <c r="IEP70" s="149"/>
      <c r="IEQ70"/>
      <c r="IER70" s="142"/>
      <c r="IES70" s="143"/>
      <c r="IET70" s="144"/>
      <c r="IEU70" s="144"/>
      <c r="IEV70" s="143"/>
      <c r="IEW70" s="145"/>
      <c r="IEX70" s="143"/>
      <c r="IEY70" s="145"/>
      <c r="IEZ70" s="146"/>
      <c r="IFA70" s="147"/>
      <c r="IFB70"/>
      <c r="IFC70" s="148"/>
      <c r="IFD70"/>
      <c r="IFE70" s="140"/>
      <c r="IFF70" s="149"/>
      <c r="IFG70"/>
      <c r="IFH70" s="142"/>
      <c r="IFI70" s="143"/>
      <c r="IFJ70" s="144"/>
      <c r="IFK70" s="144"/>
      <c r="IFL70" s="143"/>
      <c r="IFM70" s="145"/>
      <c r="IFN70" s="143"/>
      <c r="IFO70" s="145"/>
      <c r="IFP70" s="146"/>
      <c r="IFQ70" s="147"/>
      <c r="IFR70"/>
      <c r="IFS70" s="148"/>
      <c r="IFT70"/>
      <c r="IFU70" s="140"/>
      <c r="IFV70" s="149"/>
      <c r="IFW70"/>
      <c r="IFX70" s="142"/>
      <c r="IFY70" s="143"/>
      <c r="IFZ70" s="144"/>
      <c r="IGA70" s="144"/>
      <c r="IGB70" s="143"/>
      <c r="IGC70" s="145"/>
      <c r="IGD70" s="143"/>
      <c r="IGE70" s="145"/>
      <c r="IGF70" s="146"/>
      <c r="IGG70" s="147"/>
      <c r="IGH70"/>
      <c r="IGI70" s="148"/>
      <c r="IGJ70"/>
      <c r="IGK70" s="140"/>
      <c r="IGL70" s="149"/>
      <c r="IGM70"/>
      <c r="IGN70" s="142"/>
      <c r="IGO70" s="143"/>
      <c r="IGP70" s="144"/>
      <c r="IGQ70" s="144"/>
      <c r="IGR70" s="143"/>
      <c r="IGS70" s="145"/>
      <c r="IGT70" s="143"/>
      <c r="IGU70" s="145"/>
      <c r="IGV70" s="146"/>
      <c r="IGW70" s="147"/>
      <c r="IGX70"/>
      <c r="IGY70" s="148"/>
      <c r="IGZ70"/>
      <c r="IHA70" s="140"/>
      <c r="IHB70" s="149"/>
      <c r="IHC70"/>
      <c r="IHD70" s="142"/>
      <c r="IHE70" s="143"/>
      <c r="IHF70" s="144"/>
      <c r="IHG70" s="144"/>
      <c r="IHH70" s="143"/>
      <c r="IHI70" s="145"/>
      <c r="IHJ70" s="143"/>
      <c r="IHK70" s="145"/>
      <c r="IHL70" s="146"/>
      <c r="IHM70" s="147"/>
      <c r="IHN70"/>
      <c r="IHO70" s="148"/>
      <c r="IHP70"/>
      <c r="IHQ70" s="140"/>
      <c r="IHR70" s="149"/>
      <c r="IHS70"/>
      <c r="IHT70" s="142"/>
      <c r="IHU70" s="143"/>
      <c r="IHV70" s="144"/>
      <c r="IHW70" s="144"/>
      <c r="IHX70" s="143"/>
      <c r="IHY70" s="145"/>
      <c r="IHZ70" s="143"/>
      <c r="IIA70" s="145"/>
      <c r="IIB70" s="146"/>
      <c r="IIC70" s="147"/>
      <c r="IID70"/>
      <c r="IIE70" s="148"/>
      <c r="IIF70"/>
      <c r="IIG70" s="140"/>
      <c r="IIH70" s="149"/>
      <c r="III70"/>
      <c r="IIJ70" s="142"/>
      <c r="IIK70" s="143"/>
      <c r="IIL70" s="144"/>
      <c r="IIM70" s="144"/>
      <c r="IIN70" s="143"/>
      <c r="IIO70" s="145"/>
      <c r="IIP70" s="143"/>
      <c r="IIQ70" s="145"/>
      <c r="IIR70" s="146"/>
      <c r="IIS70" s="147"/>
      <c r="IIT70"/>
      <c r="IIU70" s="148"/>
      <c r="IIV70"/>
      <c r="IIW70" s="140"/>
      <c r="IIX70" s="149"/>
      <c r="IIY70"/>
      <c r="IIZ70" s="142"/>
      <c r="IJA70" s="143"/>
      <c r="IJB70" s="144"/>
      <c r="IJC70" s="144"/>
      <c r="IJD70" s="143"/>
      <c r="IJE70" s="145"/>
      <c r="IJF70" s="143"/>
      <c r="IJG70" s="145"/>
      <c r="IJH70" s="146"/>
      <c r="IJI70" s="147"/>
      <c r="IJJ70"/>
      <c r="IJK70" s="148"/>
      <c r="IJL70"/>
      <c r="IJM70" s="140"/>
      <c r="IJN70" s="149"/>
      <c r="IJO70"/>
      <c r="IJP70" s="142"/>
      <c r="IJQ70" s="143"/>
      <c r="IJR70" s="144"/>
      <c r="IJS70" s="144"/>
      <c r="IJT70" s="143"/>
      <c r="IJU70" s="145"/>
      <c r="IJV70" s="143"/>
      <c r="IJW70" s="145"/>
      <c r="IJX70" s="146"/>
      <c r="IJY70" s="147"/>
      <c r="IJZ70"/>
      <c r="IKA70" s="148"/>
      <c r="IKB70"/>
      <c r="IKC70" s="140"/>
      <c r="IKD70" s="149"/>
      <c r="IKE70"/>
      <c r="IKF70" s="142"/>
      <c r="IKG70" s="143"/>
      <c r="IKH70" s="144"/>
      <c r="IKI70" s="144"/>
      <c r="IKJ70" s="143"/>
      <c r="IKK70" s="145"/>
      <c r="IKL70" s="143"/>
      <c r="IKM70" s="145"/>
      <c r="IKN70" s="146"/>
      <c r="IKO70" s="147"/>
      <c r="IKP70"/>
      <c r="IKQ70" s="148"/>
      <c r="IKR70"/>
      <c r="IKS70" s="140"/>
      <c r="IKT70" s="149"/>
      <c r="IKU70"/>
      <c r="IKV70" s="142"/>
      <c r="IKW70" s="143"/>
      <c r="IKX70" s="144"/>
      <c r="IKY70" s="144"/>
      <c r="IKZ70" s="143"/>
      <c r="ILA70" s="145"/>
      <c r="ILB70" s="143"/>
      <c r="ILC70" s="145"/>
      <c r="ILD70" s="146"/>
      <c r="ILE70" s="147"/>
      <c r="ILF70"/>
      <c r="ILG70" s="148"/>
      <c r="ILH70"/>
      <c r="ILI70" s="140"/>
      <c r="ILJ70" s="149"/>
      <c r="ILK70"/>
      <c r="ILL70" s="142"/>
      <c r="ILM70" s="143"/>
      <c r="ILN70" s="144"/>
      <c r="ILO70" s="144"/>
      <c r="ILP70" s="143"/>
      <c r="ILQ70" s="145"/>
      <c r="ILR70" s="143"/>
      <c r="ILS70" s="145"/>
      <c r="ILT70" s="146"/>
      <c r="ILU70" s="147"/>
      <c r="ILV70"/>
      <c r="ILW70" s="148"/>
      <c r="ILX70"/>
      <c r="ILY70" s="140"/>
      <c r="ILZ70" s="149"/>
      <c r="IMA70"/>
      <c r="IMB70" s="142"/>
      <c r="IMC70" s="143"/>
      <c r="IMD70" s="144"/>
      <c r="IME70" s="144"/>
      <c r="IMF70" s="143"/>
      <c r="IMG70" s="145"/>
      <c r="IMH70" s="143"/>
      <c r="IMI70" s="145"/>
      <c r="IMJ70" s="146"/>
      <c r="IMK70" s="147"/>
      <c r="IML70"/>
      <c r="IMM70" s="148"/>
      <c r="IMN70"/>
      <c r="IMO70" s="140"/>
      <c r="IMP70" s="149"/>
      <c r="IMQ70"/>
      <c r="IMR70" s="142"/>
      <c r="IMS70" s="143"/>
      <c r="IMT70" s="144"/>
      <c r="IMU70" s="144"/>
      <c r="IMV70" s="143"/>
      <c r="IMW70" s="145"/>
      <c r="IMX70" s="143"/>
      <c r="IMY70" s="145"/>
      <c r="IMZ70" s="146"/>
      <c r="INA70" s="147"/>
      <c r="INB70"/>
      <c r="INC70" s="148"/>
      <c r="IND70"/>
      <c r="INE70" s="140"/>
      <c r="INF70" s="149"/>
      <c r="ING70"/>
      <c r="INH70" s="142"/>
      <c r="INI70" s="143"/>
      <c r="INJ70" s="144"/>
      <c r="INK70" s="144"/>
      <c r="INL70" s="143"/>
      <c r="INM70" s="145"/>
      <c r="INN70" s="143"/>
      <c r="INO70" s="145"/>
      <c r="INP70" s="146"/>
      <c r="INQ70" s="147"/>
      <c r="INR70"/>
      <c r="INS70" s="148"/>
      <c r="INT70"/>
      <c r="INU70" s="140"/>
      <c r="INV70" s="149"/>
      <c r="INW70"/>
      <c r="INX70" s="142"/>
      <c r="INY70" s="143"/>
      <c r="INZ70" s="144"/>
      <c r="IOA70" s="144"/>
      <c r="IOB70" s="143"/>
      <c r="IOC70" s="145"/>
      <c r="IOD70" s="143"/>
      <c r="IOE70" s="145"/>
      <c r="IOF70" s="146"/>
      <c r="IOG70" s="147"/>
      <c r="IOH70"/>
      <c r="IOI70" s="148"/>
      <c r="IOJ70"/>
      <c r="IOK70" s="140"/>
      <c r="IOL70" s="149"/>
      <c r="IOM70"/>
      <c r="ION70" s="142"/>
      <c r="IOO70" s="143"/>
      <c r="IOP70" s="144"/>
      <c r="IOQ70" s="144"/>
      <c r="IOR70" s="143"/>
      <c r="IOS70" s="145"/>
      <c r="IOT70" s="143"/>
      <c r="IOU70" s="145"/>
      <c r="IOV70" s="146"/>
      <c r="IOW70" s="147"/>
      <c r="IOX70"/>
      <c r="IOY70" s="148"/>
      <c r="IOZ70"/>
      <c r="IPA70" s="140"/>
      <c r="IPB70" s="149"/>
      <c r="IPC70"/>
      <c r="IPD70" s="142"/>
      <c r="IPE70" s="143"/>
      <c r="IPF70" s="144"/>
      <c r="IPG70" s="144"/>
      <c r="IPH70" s="143"/>
      <c r="IPI70" s="145"/>
      <c r="IPJ70" s="143"/>
      <c r="IPK70" s="145"/>
      <c r="IPL70" s="146"/>
      <c r="IPM70" s="147"/>
      <c r="IPN70"/>
      <c r="IPO70" s="148"/>
      <c r="IPP70"/>
      <c r="IPQ70" s="140"/>
      <c r="IPR70" s="149"/>
      <c r="IPS70"/>
      <c r="IPT70" s="142"/>
      <c r="IPU70" s="143"/>
      <c r="IPV70" s="144"/>
      <c r="IPW70" s="144"/>
      <c r="IPX70" s="143"/>
      <c r="IPY70" s="145"/>
      <c r="IPZ70" s="143"/>
      <c r="IQA70" s="145"/>
      <c r="IQB70" s="146"/>
      <c r="IQC70" s="147"/>
      <c r="IQD70"/>
      <c r="IQE70" s="148"/>
      <c r="IQF70"/>
      <c r="IQG70" s="140"/>
      <c r="IQH70" s="149"/>
      <c r="IQI70"/>
      <c r="IQJ70" s="142"/>
      <c r="IQK70" s="143"/>
      <c r="IQL70" s="144"/>
      <c r="IQM70" s="144"/>
      <c r="IQN70" s="143"/>
      <c r="IQO70" s="145"/>
      <c r="IQP70" s="143"/>
      <c r="IQQ70" s="145"/>
      <c r="IQR70" s="146"/>
      <c r="IQS70" s="147"/>
      <c r="IQT70"/>
      <c r="IQU70" s="148"/>
      <c r="IQV70"/>
      <c r="IQW70" s="140"/>
      <c r="IQX70" s="149"/>
      <c r="IQY70"/>
      <c r="IQZ70" s="142"/>
      <c r="IRA70" s="143"/>
      <c r="IRB70" s="144"/>
      <c r="IRC70" s="144"/>
      <c r="IRD70" s="143"/>
      <c r="IRE70" s="145"/>
      <c r="IRF70" s="143"/>
      <c r="IRG70" s="145"/>
      <c r="IRH70" s="146"/>
      <c r="IRI70" s="147"/>
      <c r="IRJ70"/>
      <c r="IRK70" s="148"/>
      <c r="IRL70"/>
      <c r="IRM70" s="140"/>
      <c r="IRN70" s="149"/>
      <c r="IRO70"/>
      <c r="IRP70" s="142"/>
      <c r="IRQ70" s="143"/>
      <c r="IRR70" s="144"/>
      <c r="IRS70" s="144"/>
      <c r="IRT70" s="143"/>
      <c r="IRU70" s="145"/>
      <c r="IRV70" s="143"/>
      <c r="IRW70" s="145"/>
      <c r="IRX70" s="146"/>
      <c r="IRY70" s="147"/>
      <c r="IRZ70"/>
      <c r="ISA70" s="148"/>
      <c r="ISB70"/>
      <c r="ISC70" s="140"/>
      <c r="ISD70" s="149"/>
      <c r="ISE70"/>
      <c r="ISF70" s="142"/>
      <c r="ISG70" s="143"/>
      <c r="ISH70" s="144"/>
      <c r="ISI70" s="144"/>
      <c r="ISJ70" s="143"/>
      <c r="ISK70" s="145"/>
      <c r="ISL70" s="143"/>
      <c r="ISM70" s="145"/>
      <c r="ISN70" s="146"/>
      <c r="ISO70" s="147"/>
      <c r="ISP70"/>
      <c r="ISQ70" s="148"/>
      <c r="ISR70"/>
      <c r="ISS70" s="140"/>
      <c r="IST70" s="149"/>
      <c r="ISU70"/>
      <c r="ISV70" s="142"/>
      <c r="ISW70" s="143"/>
      <c r="ISX70" s="144"/>
      <c r="ISY70" s="144"/>
      <c r="ISZ70" s="143"/>
      <c r="ITA70" s="145"/>
      <c r="ITB70" s="143"/>
      <c r="ITC70" s="145"/>
      <c r="ITD70" s="146"/>
      <c r="ITE70" s="147"/>
      <c r="ITF70"/>
      <c r="ITG70" s="148"/>
      <c r="ITH70"/>
      <c r="ITI70" s="140"/>
      <c r="ITJ70" s="149"/>
      <c r="ITK70"/>
      <c r="ITL70" s="142"/>
      <c r="ITM70" s="143"/>
      <c r="ITN70" s="144"/>
      <c r="ITO70" s="144"/>
      <c r="ITP70" s="143"/>
      <c r="ITQ70" s="145"/>
      <c r="ITR70" s="143"/>
      <c r="ITS70" s="145"/>
      <c r="ITT70" s="146"/>
      <c r="ITU70" s="147"/>
      <c r="ITV70"/>
      <c r="ITW70" s="148"/>
      <c r="ITX70"/>
      <c r="ITY70" s="140"/>
      <c r="ITZ70" s="149"/>
      <c r="IUA70"/>
      <c r="IUB70" s="142"/>
      <c r="IUC70" s="143"/>
      <c r="IUD70" s="144"/>
      <c r="IUE70" s="144"/>
      <c r="IUF70" s="143"/>
      <c r="IUG70" s="145"/>
      <c r="IUH70" s="143"/>
      <c r="IUI70" s="145"/>
      <c r="IUJ70" s="146"/>
      <c r="IUK70" s="147"/>
      <c r="IUL70"/>
      <c r="IUM70" s="148"/>
      <c r="IUN70"/>
      <c r="IUO70" s="140"/>
      <c r="IUP70" s="149"/>
      <c r="IUQ70"/>
      <c r="IUR70" s="142"/>
      <c r="IUS70" s="143"/>
      <c r="IUT70" s="144"/>
      <c r="IUU70" s="144"/>
      <c r="IUV70" s="143"/>
      <c r="IUW70" s="145"/>
      <c r="IUX70" s="143"/>
      <c r="IUY70" s="145"/>
      <c r="IUZ70" s="146"/>
      <c r="IVA70" s="147"/>
      <c r="IVB70"/>
      <c r="IVC70" s="148"/>
      <c r="IVD70"/>
      <c r="IVE70" s="140"/>
      <c r="IVF70" s="149"/>
      <c r="IVG70"/>
      <c r="IVH70" s="142"/>
      <c r="IVI70" s="143"/>
      <c r="IVJ70" s="144"/>
      <c r="IVK70" s="144"/>
      <c r="IVL70" s="143"/>
      <c r="IVM70" s="145"/>
      <c r="IVN70" s="143"/>
      <c r="IVO70" s="145"/>
      <c r="IVP70" s="146"/>
      <c r="IVQ70" s="147"/>
      <c r="IVR70"/>
      <c r="IVS70" s="148"/>
      <c r="IVT70"/>
      <c r="IVU70" s="140"/>
      <c r="IVV70" s="149"/>
      <c r="IVW70"/>
      <c r="IVX70" s="142"/>
      <c r="IVY70" s="143"/>
      <c r="IVZ70" s="144"/>
      <c r="IWA70" s="144"/>
      <c r="IWB70" s="143"/>
      <c r="IWC70" s="145"/>
      <c r="IWD70" s="143"/>
      <c r="IWE70" s="145"/>
      <c r="IWF70" s="146"/>
      <c r="IWG70" s="147"/>
      <c r="IWH70"/>
      <c r="IWI70" s="148"/>
      <c r="IWJ70"/>
      <c r="IWK70" s="140"/>
      <c r="IWL70" s="149"/>
      <c r="IWM70"/>
      <c r="IWN70" s="142"/>
      <c r="IWO70" s="143"/>
      <c r="IWP70" s="144"/>
      <c r="IWQ70" s="144"/>
      <c r="IWR70" s="143"/>
      <c r="IWS70" s="145"/>
      <c r="IWT70" s="143"/>
      <c r="IWU70" s="145"/>
      <c r="IWV70" s="146"/>
      <c r="IWW70" s="147"/>
      <c r="IWX70"/>
      <c r="IWY70" s="148"/>
      <c r="IWZ70"/>
      <c r="IXA70" s="140"/>
      <c r="IXB70" s="149"/>
      <c r="IXC70"/>
      <c r="IXD70" s="142"/>
      <c r="IXE70" s="143"/>
      <c r="IXF70" s="144"/>
      <c r="IXG70" s="144"/>
      <c r="IXH70" s="143"/>
      <c r="IXI70" s="145"/>
      <c r="IXJ70" s="143"/>
      <c r="IXK70" s="145"/>
      <c r="IXL70" s="146"/>
      <c r="IXM70" s="147"/>
      <c r="IXN70"/>
      <c r="IXO70" s="148"/>
      <c r="IXP70"/>
      <c r="IXQ70" s="140"/>
      <c r="IXR70" s="149"/>
      <c r="IXS70"/>
      <c r="IXT70" s="142"/>
      <c r="IXU70" s="143"/>
      <c r="IXV70" s="144"/>
      <c r="IXW70" s="144"/>
      <c r="IXX70" s="143"/>
      <c r="IXY70" s="145"/>
      <c r="IXZ70" s="143"/>
      <c r="IYA70" s="145"/>
      <c r="IYB70" s="146"/>
      <c r="IYC70" s="147"/>
      <c r="IYD70"/>
      <c r="IYE70" s="148"/>
      <c r="IYF70"/>
      <c r="IYG70" s="140"/>
      <c r="IYH70" s="149"/>
      <c r="IYI70"/>
      <c r="IYJ70" s="142"/>
      <c r="IYK70" s="143"/>
      <c r="IYL70" s="144"/>
      <c r="IYM70" s="144"/>
      <c r="IYN70" s="143"/>
      <c r="IYO70" s="145"/>
      <c r="IYP70" s="143"/>
      <c r="IYQ70" s="145"/>
      <c r="IYR70" s="146"/>
      <c r="IYS70" s="147"/>
      <c r="IYT70"/>
      <c r="IYU70" s="148"/>
      <c r="IYV70"/>
      <c r="IYW70" s="140"/>
      <c r="IYX70" s="149"/>
      <c r="IYY70"/>
      <c r="IYZ70" s="142"/>
      <c r="IZA70" s="143"/>
      <c r="IZB70" s="144"/>
      <c r="IZC70" s="144"/>
      <c r="IZD70" s="143"/>
      <c r="IZE70" s="145"/>
      <c r="IZF70" s="143"/>
      <c r="IZG70" s="145"/>
      <c r="IZH70" s="146"/>
      <c r="IZI70" s="147"/>
      <c r="IZJ70"/>
      <c r="IZK70" s="148"/>
      <c r="IZL70"/>
      <c r="IZM70" s="140"/>
      <c r="IZN70" s="149"/>
      <c r="IZO70"/>
      <c r="IZP70" s="142"/>
      <c r="IZQ70" s="143"/>
      <c r="IZR70" s="144"/>
      <c r="IZS70" s="144"/>
      <c r="IZT70" s="143"/>
      <c r="IZU70" s="145"/>
      <c r="IZV70" s="143"/>
      <c r="IZW70" s="145"/>
      <c r="IZX70" s="146"/>
      <c r="IZY70" s="147"/>
      <c r="IZZ70"/>
      <c r="JAA70" s="148"/>
      <c r="JAB70"/>
      <c r="JAC70" s="140"/>
      <c r="JAD70" s="149"/>
      <c r="JAE70"/>
      <c r="JAF70" s="142"/>
      <c r="JAG70" s="143"/>
      <c r="JAH70" s="144"/>
      <c r="JAI70" s="144"/>
      <c r="JAJ70" s="143"/>
      <c r="JAK70" s="145"/>
      <c r="JAL70" s="143"/>
      <c r="JAM70" s="145"/>
      <c r="JAN70" s="146"/>
      <c r="JAO70" s="147"/>
      <c r="JAP70"/>
      <c r="JAQ70" s="148"/>
      <c r="JAR70"/>
      <c r="JAS70" s="140"/>
      <c r="JAT70" s="149"/>
      <c r="JAU70"/>
      <c r="JAV70" s="142"/>
      <c r="JAW70" s="143"/>
      <c r="JAX70" s="144"/>
      <c r="JAY70" s="144"/>
      <c r="JAZ70" s="143"/>
      <c r="JBA70" s="145"/>
      <c r="JBB70" s="143"/>
      <c r="JBC70" s="145"/>
      <c r="JBD70" s="146"/>
      <c r="JBE70" s="147"/>
      <c r="JBF70"/>
      <c r="JBG70" s="148"/>
      <c r="JBH70"/>
      <c r="JBI70" s="140"/>
      <c r="JBJ70" s="149"/>
      <c r="JBK70"/>
      <c r="JBL70" s="142"/>
      <c r="JBM70" s="143"/>
      <c r="JBN70" s="144"/>
      <c r="JBO70" s="144"/>
      <c r="JBP70" s="143"/>
      <c r="JBQ70" s="145"/>
      <c r="JBR70" s="143"/>
      <c r="JBS70" s="145"/>
      <c r="JBT70" s="146"/>
      <c r="JBU70" s="147"/>
      <c r="JBV70"/>
      <c r="JBW70" s="148"/>
      <c r="JBX70"/>
      <c r="JBY70" s="140"/>
      <c r="JBZ70" s="149"/>
      <c r="JCA70"/>
      <c r="JCB70" s="142"/>
      <c r="JCC70" s="143"/>
      <c r="JCD70" s="144"/>
      <c r="JCE70" s="144"/>
      <c r="JCF70" s="143"/>
      <c r="JCG70" s="145"/>
      <c r="JCH70" s="143"/>
      <c r="JCI70" s="145"/>
      <c r="JCJ70" s="146"/>
      <c r="JCK70" s="147"/>
      <c r="JCL70"/>
      <c r="JCM70" s="148"/>
      <c r="JCN70"/>
      <c r="JCO70" s="140"/>
      <c r="JCP70" s="149"/>
      <c r="JCQ70"/>
      <c r="JCR70" s="142"/>
      <c r="JCS70" s="143"/>
      <c r="JCT70" s="144"/>
      <c r="JCU70" s="144"/>
      <c r="JCV70" s="143"/>
      <c r="JCW70" s="145"/>
      <c r="JCX70" s="143"/>
      <c r="JCY70" s="145"/>
      <c r="JCZ70" s="146"/>
      <c r="JDA70" s="147"/>
      <c r="JDB70"/>
      <c r="JDC70" s="148"/>
      <c r="JDD70"/>
      <c r="JDE70" s="140"/>
      <c r="JDF70" s="149"/>
      <c r="JDG70"/>
      <c r="JDH70" s="142"/>
      <c r="JDI70" s="143"/>
      <c r="JDJ70" s="144"/>
      <c r="JDK70" s="144"/>
      <c r="JDL70" s="143"/>
      <c r="JDM70" s="145"/>
      <c r="JDN70" s="143"/>
      <c r="JDO70" s="145"/>
      <c r="JDP70" s="146"/>
      <c r="JDQ70" s="147"/>
      <c r="JDR70"/>
      <c r="JDS70" s="148"/>
      <c r="JDT70"/>
      <c r="JDU70" s="140"/>
      <c r="JDV70" s="149"/>
      <c r="JDW70"/>
      <c r="JDX70" s="142"/>
      <c r="JDY70" s="143"/>
      <c r="JDZ70" s="144"/>
      <c r="JEA70" s="144"/>
      <c r="JEB70" s="143"/>
      <c r="JEC70" s="145"/>
      <c r="JED70" s="143"/>
      <c r="JEE70" s="145"/>
      <c r="JEF70" s="146"/>
      <c r="JEG70" s="147"/>
      <c r="JEH70"/>
      <c r="JEI70" s="148"/>
      <c r="JEJ70"/>
      <c r="JEK70" s="140"/>
      <c r="JEL70" s="149"/>
      <c r="JEM70"/>
      <c r="JEN70" s="142"/>
      <c r="JEO70" s="143"/>
      <c r="JEP70" s="144"/>
      <c r="JEQ70" s="144"/>
      <c r="JER70" s="143"/>
      <c r="JES70" s="145"/>
      <c r="JET70" s="143"/>
      <c r="JEU70" s="145"/>
      <c r="JEV70" s="146"/>
      <c r="JEW70" s="147"/>
      <c r="JEX70"/>
      <c r="JEY70" s="148"/>
      <c r="JEZ70"/>
      <c r="JFA70" s="140"/>
      <c r="JFB70" s="149"/>
      <c r="JFC70"/>
      <c r="JFD70" s="142"/>
      <c r="JFE70" s="143"/>
      <c r="JFF70" s="144"/>
      <c r="JFG70" s="144"/>
      <c r="JFH70" s="143"/>
      <c r="JFI70" s="145"/>
      <c r="JFJ70" s="143"/>
      <c r="JFK70" s="145"/>
      <c r="JFL70" s="146"/>
      <c r="JFM70" s="147"/>
      <c r="JFN70"/>
      <c r="JFO70" s="148"/>
      <c r="JFP70"/>
      <c r="JFQ70" s="140"/>
      <c r="JFR70" s="149"/>
      <c r="JFS70"/>
      <c r="JFT70" s="142"/>
      <c r="JFU70" s="143"/>
      <c r="JFV70" s="144"/>
      <c r="JFW70" s="144"/>
      <c r="JFX70" s="143"/>
      <c r="JFY70" s="145"/>
      <c r="JFZ70" s="143"/>
      <c r="JGA70" s="145"/>
      <c r="JGB70" s="146"/>
      <c r="JGC70" s="147"/>
      <c r="JGD70"/>
      <c r="JGE70" s="148"/>
      <c r="JGF70"/>
      <c r="JGG70" s="140"/>
      <c r="JGH70" s="149"/>
      <c r="JGI70"/>
      <c r="JGJ70" s="142"/>
      <c r="JGK70" s="143"/>
      <c r="JGL70" s="144"/>
      <c r="JGM70" s="144"/>
      <c r="JGN70" s="143"/>
      <c r="JGO70" s="145"/>
      <c r="JGP70" s="143"/>
      <c r="JGQ70" s="145"/>
      <c r="JGR70" s="146"/>
      <c r="JGS70" s="147"/>
      <c r="JGT70"/>
      <c r="JGU70" s="148"/>
      <c r="JGV70"/>
      <c r="JGW70" s="140"/>
      <c r="JGX70" s="149"/>
      <c r="JGY70"/>
      <c r="JGZ70" s="142"/>
      <c r="JHA70" s="143"/>
      <c r="JHB70" s="144"/>
      <c r="JHC70" s="144"/>
      <c r="JHD70" s="143"/>
      <c r="JHE70" s="145"/>
      <c r="JHF70" s="143"/>
      <c r="JHG70" s="145"/>
      <c r="JHH70" s="146"/>
      <c r="JHI70" s="147"/>
      <c r="JHJ70"/>
      <c r="JHK70" s="148"/>
      <c r="JHL70"/>
      <c r="JHM70" s="140"/>
      <c r="JHN70" s="149"/>
      <c r="JHO70"/>
      <c r="JHP70" s="142"/>
      <c r="JHQ70" s="143"/>
      <c r="JHR70" s="144"/>
      <c r="JHS70" s="144"/>
      <c r="JHT70" s="143"/>
      <c r="JHU70" s="145"/>
      <c r="JHV70" s="143"/>
      <c r="JHW70" s="145"/>
      <c r="JHX70" s="146"/>
      <c r="JHY70" s="147"/>
      <c r="JHZ70"/>
      <c r="JIA70" s="148"/>
      <c r="JIB70"/>
      <c r="JIC70" s="140"/>
      <c r="JID70" s="149"/>
      <c r="JIE70"/>
      <c r="JIF70" s="142"/>
      <c r="JIG70" s="143"/>
      <c r="JIH70" s="144"/>
      <c r="JII70" s="144"/>
      <c r="JIJ70" s="143"/>
      <c r="JIK70" s="145"/>
      <c r="JIL70" s="143"/>
      <c r="JIM70" s="145"/>
      <c r="JIN70" s="146"/>
      <c r="JIO70" s="147"/>
      <c r="JIP70"/>
      <c r="JIQ70" s="148"/>
      <c r="JIR70"/>
      <c r="JIS70" s="140"/>
      <c r="JIT70" s="149"/>
      <c r="JIU70"/>
      <c r="JIV70" s="142"/>
      <c r="JIW70" s="143"/>
      <c r="JIX70" s="144"/>
      <c r="JIY70" s="144"/>
      <c r="JIZ70" s="143"/>
      <c r="JJA70" s="145"/>
      <c r="JJB70" s="143"/>
      <c r="JJC70" s="145"/>
      <c r="JJD70" s="146"/>
      <c r="JJE70" s="147"/>
      <c r="JJF70"/>
      <c r="JJG70" s="148"/>
      <c r="JJH70"/>
      <c r="JJI70" s="140"/>
      <c r="JJJ70" s="149"/>
      <c r="JJK70"/>
      <c r="JJL70" s="142"/>
      <c r="JJM70" s="143"/>
      <c r="JJN70" s="144"/>
      <c r="JJO70" s="144"/>
      <c r="JJP70" s="143"/>
      <c r="JJQ70" s="145"/>
      <c r="JJR70" s="143"/>
      <c r="JJS70" s="145"/>
      <c r="JJT70" s="146"/>
      <c r="JJU70" s="147"/>
      <c r="JJV70"/>
      <c r="JJW70" s="148"/>
      <c r="JJX70"/>
      <c r="JJY70" s="140"/>
      <c r="JJZ70" s="149"/>
      <c r="JKA70"/>
      <c r="JKB70" s="142"/>
      <c r="JKC70" s="143"/>
      <c r="JKD70" s="144"/>
      <c r="JKE70" s="144"/>
      <c r="JKF70" s="143"/>
      <c r="JKG70" s="145"/>
      <c r="JKH70" s="143"/>
      <c r="JKI70" s="145"/>
      <c r="JKJ70" s="146"/>
      <c r="JKK70" s="147"/>
      <c r="JKL70"/>
      <c r="JKM70" s="148"/>
      <c r="JKN70"/>
      <c r="JKO70" s="140"/>
      <c r="JKP70" s="149"/>
      <c r="JKQ70"/>
      <c r="JKR70" s="142"/>
      <c r="JKS70" s="143"/>
      <c r="JKT70" s="144"/>
      <c r="JKU70" s="144"/>
      <c r="JKV70" s="143"/>
      <c r="JKW70" s="145"/>
      <c r="JKX70" s="143"/>
      <c r="JKY70" s="145"/>
      <c r="JKZ70" s="146"/>
      <c r="JLA70" s="147"/>
      <c r="JLB70"/>
      <c r="JLC70" s="148"/>
      <c r="JLD70"/>
      <c r="JLE70" s="140"/>
      <c r="JLF70" s="149"/>
      <c r="JLG70"/>
      <c r="JLH70" s="142"/>
      <c r="JLI70" s="143"/>
      <c r="JLJ70" s="144"/>
      <c r="JLK70" s="144"/>
      <c r="JLL70" s="143"/>
      <c r="JLM70" s="145"/>
      <c r="JLN70" s="143"/>
      <c r="JLO70" s="145"/>
      <c r="JLP70" s="146"/>
      <c r="JLQ70" s="147"/>
      <c r="JLR70"/>
      <c r="JLS70" s="148"/>
      <c r="JLT70"/>
      <c r="JLU70" s="140"/>
      <c r="JLV70" s="149"/>
      <c r="JLW70"/>
      <c r="JLX70" s="142"/>
      <c r="JLY70" s="143"/>
      <c r="JLZ70" s="144"/>
      <c r="JMA70" s="144"/>
      <c r="JMB70" s="143"/>
      <c r="JMC70" s="145"/>
      <c r="JMD70" s="143"/>
      <c r="JME70" s="145"/>
      <c r="JMF70" s="146"/>
      <c r="JMG70" s="147"/>
      <c r="JMH70"/>
      <c r="JMI70" s="148"/>
      <c r="JMJ70"/>
      <c r="JMK70" s="140"/>
      <c r="JML70" s="149"/>
      <c r="JMM70"/>
      <c r="JMN70" s="142"/>
      <c r="JMO70" s="143"/>
      <c r="JMP70" s="144"/>
      <c r="JMQ70" s="144"/>
      <c r="JMR70" s="143"/>
      <c r="JMS70" s="145"/>
      <c r="JMT70" s="143"/>
      <c r="JMU70" s="145"/>
      <c r="JMV70" s="146"/>
      <c r="JMW70" s="147"/>
      <c r="JMX70"/>
      <c r="JMY70" s="148"/>
      <c r="JMZ70"/>
      <c r="JNA70" s="140"/>
      <c r="JNB70" s="149"/>
      <c r="JNC70"/>
      <c r="JND70" s="142"/>
      <c r="JNE70" s="143"/>
      <c r="JNF70" s="144"/>
      <c r="JNG70" s="144"/>
      <c r="JNH70" s="143"/>
      <c r="JNI70" s="145"/>
      <c r="JNJ70" s="143"/>
      <c r="JNK70" s="145"/>
      <c r="JNL70" s="146"/>
      <c r="JNM70" s="147"/>
      <c r="JNN70"/>
      <c r="JNO70" s="148"/>
      <c r="JNP70"/>
      <c r="JNQ70" s="140"/>
      <c r="JNR70" s="149"/>
      <c r="JNS70"/>
      <c r="JNT70" s="142"/>
      <c r="JNU70" s="143"/>
      <c r="JNV70" s="144"/>
      <c r="JNW70" s="144"/>
      <c r="JNX70" s="143"/>
      <c r="JNY70" s="145"/>
      <c r="JNZ70" s="143"/>
      <c r="JOA70" s="145"/>
      <c r="JOB70" s="146"/>
      <c r="JOC70" s="147"/>
      <c r="JOD70"/>
      <c r="JOE70" s="148"/>
      <c r="JOF70"/>
      <c r="JOG70" s="140"/>
      <c r="JOH70" s="149"/>
      <c r="JOI70"/>
      <c r="JOJ70" s="142"/>
      <c r="JOK70" s="143"/>
      <c r="JOL70" s="144"/>
      <c r="JOM70" s="144"/>
      <c r="JON70" s="143"/>
      <c r="JOO70" s="145"/>
      <c r="JOP70" s="143"/>
      <c r="JOQ70" s="145"/>
      <c r="JOR70" s="146"/>
      <c r="JOS70" s="147"/>
      <c r="JOT70"/>
      <c r="JOU70" s="148"/>
      <c r="JOV70"/>
      <c r="JOW70" s="140"/>
      <c r="JOX70" s="149"/>
      <c r="JOY70"/>
      <c r="JOZ70" s="142"/>
      <c r="JPA70" s="143"/>
      <c r="JPB70" s="144"/>
      <c r="JPC70" s="144"/>
      <c r="JPD70" s="143"/>
      <c r="JPE70" s="145"/>
      <c r="JPF70" s="143"/>
      <c r="JPG70" s="145"/>
      <c r="JPH70" s="146"/>
      <c r="JPI70" s="147"/>
      <c r="JPJ70"/>
      <c r="JPK70" s="148"/>
      <c r="JPL70"/>
      <c r="JPM70" s="140"/>
      <c r="JPN70" s="149"/>
      <c r="JPO70"/>
      <c r="JPP70" s="142"/>
      <c r="JPQ70" s="143"/>
      <c r="JPR70" s="144"/>
      <c r="JPS70" s="144"/>
      <c r="JPT70" s="143"/>
      <c r="JPU70" s="145"/>
      <c r="JPV70" s="143"/>
      <c r="JPW70" s="145"/>
      <c r="JPX70" s="146"/>
      <c r="JPY70" s="147"/>
      <c r="JPZ70"/>
      <c r="JQA70" s="148"/>
      <c r="JQB70"/>
      <c r="JQC70" s="140"/>
      <c r="JQD70" s="149"/>
      <c r="JQE70"/>
      <c r="JQF70" s="142"/>
      <c r="JQG70" s="143"/>
      <c r="JQH70" s="144"/>
      <c r="JQI70" s="144"/>
      <c r="JQJ70" s="143"/>
      <c r="JQK70" s="145"/>
      <c r="JQL70" s="143"/>
      <c r="JQM70" s="145"/>
      <c r="JQN70" s="146"/>
      <c r="JQO70" s="147"/>
      <c r="JQP70"/>
      <c r="JQQ70" s="148"/>
      <c r="JQR70"/>
      <c r="JQS70" s="140"/>
      <c r="JQT70" s="149"/>
      <c r="JQU70"/>
      <c r="JQV70" s="142"/>
      <c r="JQW70" s="143"/>
      <c r="JQX70" s="144"/>
      <c r="JQY70" s="144"/>
      <c r="JQZ70" s="143"/>
      <c r="JRA70" s="145"/>
      <c r="JRB70" s="143"/>
      <c r="JRC70" s="145"/>
      <c r="JRD70" s="146"/>
      <c r="JRE70" s="147"/>
      <c r="JRF70"/>
      <c r="JRG70" s="148"/>
      <c r="JRH70"/>
      <c r="JRI70" s="140"/>
      <c r="JRJ70" s="149"/>
      <c r="JRK70"/>
      <c r="JRL70" s="142"/>
      <c r="JRM70" s="143"/>
      <c r="JRN70" s="144"/>
      <c r="JRO70" s="144"/>
      <c r="JRP70" s="143"/>
      <c r="JRQ70" s="145"/>
      <c r="JRR70" s="143"/>
      <c r="JRS70" s="145"/>
      <c r="JRT70" s="146"/>
      <c r="JRU70" s="147"/>
      <c r="JRV70"/>
      <c r="JRW70" s="148"/>
      <c r="JRX70"/>
      <c r="JRY70" s="140"/>
      <c r="JRZ70" s="149"/>
      <c r="JSA70"/>
      <c r="JSB70" s="142"/>
      <c r="JSC70" s="143"/>
      <c r="JSD70" s="144"/>
      <c r="JSE70" s="144"/>
      <c r="JSF70" s="143"/>
      <c r="JSG70" s="145"/>
      <c r="JSH70" s="143"/>
      <c r="JSI70" s="145"/>
      <c r="JSJ70" s="146"/>
      <c r="JSK70" s="147"/>
      <c r="JSL70"/>
      <c r="JSM70" s="148"/>
      <c r="JSN70"/>
      <c r="JSO70" s="140"/>
      <c r="JSP70" s="149"/>
      <c r="JSQ70"/>
      <c r="JSR70" s="142"/>
      <c r="JSS70" s="143"/>
      <c r="JST70" s="144"/>
      <c r="JSU70" s="144"/>
      <c r="JSV70" s="143"/>
      <c r="JSW70" s="145"/>
      <c r="JSX70" s="143"/>
      <c r="JSY70" s="145"/>
      <c r="JSZ70" s="146"/>
      <c r="JTA70" s="147"/>
      <c r="JTB70"/>
      <c r="JTC70" s="148"/>
      <c r="JTD70"/>
      <c r="JTE70" s="140"/>
      <c r="JTF70" s="149"/>
      <c r="JTG70"/>
      <c r="JTH70" s="142"/>
      <c r="JTI70" s="143"/>
      <c r="JTJ70" s="144"/>
      <c r="JTK70" s="144"/>
      <c r="JTL70" s="143"/>
      <c r="JTM70" s="145"/>
      <c r="JTN70" s="143"/>
      <c r="JTO70" s="145"/>
      <c r="JTP70" s="146"/>
      <c r="JTQ70" s="147"/>
      <c r="JTR70"/>
      <c r="JTS70" s="148"/>
      <c r="JTT70"/>
      <c r="JTU70" s="140"/>
      <c r="JTV70" s="149"/>
      <c r="JTW70"/>
      <c r="JTX70" s="142"/>
      <c r="JTY70" s="143"/>
      <c r="JTZ70" s="144"/>
      <c r="JUA70" s="144"/>
      <c r="JUB70" s="143"/>
      <c r="JUC70" s="145"/>
      <c r="JUD70" s="143"/>
      <c r="JUE70" s="145"/>
      <c r="JUF70" s="146"/>
      <c r="JUG70" s="147"/>
      <c r="JUH70"/>
      <c r="JUI70" s="148"/>
      <c r="JUJ70"/>
      <c r="JUK70" s="140"/>
      <c r="JUL70" s="149"/>
      <c r="JUM70"/>
      <c r="JUN70" s="142"/>
      <c r="JUO70" s="143"/>
      <c r="JUP70" s="144"/>
      <c r="JUQ70" s="144"/>
      <c r="JUR70" s="143"/>
      <c r="JUS70" s="145"/>
      <c r="JUT70" s="143"/>
      <c r="JUU70" s="145"/>
      <c r="JUV70" s="146"/>
      <c r="JUW70" s="147"/>
      <c r="JUX70"/>
      <c r="JUY70" s="148"/>
      <c r="JUZ70"/>
      <c r="JVA70" s="140"/>
      <c r="JVB70" s="149"/>
      <c r="JVC70"/>
      <c r="JVD70" s="142"/>
      <c r="JVE70" s="143"/>
      <c r="JVF70" s="144"/>
      <c r="JVG70" s="144"/>
      <c r="JVH70" s="143"/>
      <c r="JVI70" s="145"/>
      <c r="JVJ70" s="143"/>
      <c r="JVK70" s="145"/>
      <c r="JVL70" s="146"/>
      <c r="JVM70" s="147"/>
      <c r="JVN70"/>
      <c r="JVO70" s="148"/>
      <c r="JVP70"/>
      <c r="JVQ70" s="140"/>
      <c r="JVR70" s="149"/>
      <c r="JVS70"/>
      <c r="JVT70" s="142"/>
      <c r="JVU70" s="143"/>
      <c r="JVV70" s="144"/>
      <c r="JVW70" s="144"/>
      <c r="JVX70" s="143"/>
      <c r="JVY70" s="145"/>
      <c r="JVZ70" s="143"/>
      <c r="JWA70" s="145"/>
      <c r="JWB70" s="146"/>
      <c r="JWC70" s="147"/>
      <c r="JWD70"/>
      <c r="JWE70" s="148"/>
      <c r="JWF70"/>
      <c r="JWG70" s="140"/>
      <c r="JWH70" s="149"/>
      <c r="JWI70"/>
      <c r="JWJ70" s="142"/>
      <c r="JWK70" s="143"/>
      <c r="JWL70" s="144"/>
      <c r="JWM70" s="144"/>
      <c r="JWN70" s="143"/>
      <c r="JWO70" s="145"/>
      <c r="JWP70" s="143"/>
      <c r="JWQ70" s="145"/>
      <c r="JWR70" s="146"/>
      <c r="JWS70" s="147"/>
      <c r="JWT70"/>
      <c r="JWU70" s="148"/>
      <c r="JWV70"/>
      <c r="JWW70" s="140"/>
      <c r="JWX70" s="149"/>
      <c r="JWY70"/>
      <c r="JWZ70" s="142"/>
      <c r="JXA70" s="143"/>
      <c r="JXB70" s="144"/>
      <c r="JXC70" s="144"/>
      <c r="JXD70" s="143"/>
      <c r="JXE70" s="145"/>
      <c r="JXF70" s="143"/>
      <c r="JXG70" s="145"/>
      <c r="JXH70" s="146"/>
      <c r="JXI70" s="147"/>
      <c r="JXJ70"/>
      <c r="JXK70" s="148"/>
      <c r="JXL70"/>
      <c r="JXM70" s="140"/>
      <c r="JXN70" s="149"/>
      <c r="JXO70"/>
      <c r="JXP70" s="142"/>
      <c r="JXQ70" s="143"/>
      <c r="JXR70" s="144"/>
      <c r="JXS70" s="144"/>
      <c r="JXT70" s="143"/>
      <c r="JXU70" s="145"/>
      <c r="JXV70" s="143"/>
      <c r="JXW70" s="145"/>
      <c r="JXX70" s="146"/>
      <c r="JXY70" s="147"/>
      <c r="JXZ70"/>
      <c r="JYA70" s="148"/>
      <c r="JYB70"/>
      <c r="JYC70" s="140"/>
      <c r="JYD70" s="149"/>
      <c r="JYE70"/>
      <c r="JYF70" s="142"/>
      <c r="JYG70" s="143"/>
      <c r="JYH70" s="144"/>
      <c r="JYI70" s="144"/>
      <c r="JYJ70" s="143"/>
      <c r="JYK70" s="145"/>
      <c r="JYL70" s="143"/>
      <c r="JYM70" s="145"/>
      <c r="JYN70" s="146"/>
      <c r="JYO70" s="147"/>
      <c r="JYP70"/>
      <c r="JYQ70" s="148"/>
      <c r="JYR70"/>
      <c r="JYS70" s="140"/>
      <c r="JYT70" s="149"/>
      <c r="JYU70"/>
      <c r="JYV70" s="142"/>
      <c r="JYW70" s="143"/>
      <c r="JYX70" s="144"/>
      <c r="JYY70" s="144"/>
      <c r="JYZ70" s="143"/>
      <c r="JZA70" s="145"/>
      <c r="JZB70" s="143"/>
      <c r="JZC70" s="145"/>
      <c r="JZD70" s="146"/>
      <c r="JZE70" s="147"/>
      <c r="JZF70"/>
      <c r="JZG70" s="148"/>
      <c r="JZH70"/>
      <c r="JZI70" s="140"/>
      <c r="JZJ70" s="149"/>
      <c r="JZK70"/>
      <c r="JZL70" s="142"/>
      <c r="JZM70" s="143"/>
      <c r="JZN70" s="144"/>
      <c r="JZO70" s="144"/>
      <c r="JZP70" s="143"/>
      <c r="JZQ70" s="145"/>
      <c r="JZR70" s="143"/>
      <c r="JZS70" s="145"/>
      <c r="JZT70" s="146"/>
      <c r="JZU70" s="147"/>
      <c r="JZV70"/>
      <c r="JZW70" s="148"/>
      <c r="JZX70"/>
      <c r="JZY70" s="140"/>
      <c r="JZZ70" s="149"/>
      <c r="KAA70"/>
      <c r="KAB70" s="142"/>
      <c r="KAC70" s="143"/>
      <c r="KAD70" s="144"/>
      <c r="KAE70" s="144"/>
      <c r="KAF70" s="143"/>
      <c r="KAG70" s="145"/>
      <c r="KAH70" s="143"/>
      <c r="KAI70" s="145"/>
      <c r="KAJ70" s="146"/>
      <c r="KAK70" s="147"/>
      <c r="KAL70"/>
      <c r="KAM70" s="148"/>
      <c r="KAN70"/>
      <c r="KAO70" s="140"/>
      <c r="KAP70" s="149"/>
      <c r="KAQ70"/>
      <c r="KAR70" s="142"/>
      <c r="KAS70" s="143"/>
      <c r="KAT70" s="144"/>
      <c r="KAU70" s="144"/>
      <c r="KAV70" s="143"/>
      <c r="KAW70" s="145"/>
      <c r="KAX70" s="143"/>
      <c r="KAY70" s="145"/>
      <c r="KAZ70" s="146"/>
      <c r="KBA70" s="147"/>
      <c r="KBB70"/>
      <c r="KBC70" s="148"/>
      <c r="KBD70"/>
      <c r="KBE70" s="140"/>
      <c r="KBF70" s="149"/>
      <c r="KBG70"/>
      <c r="KBH70" s="142"/>
      <c r="KBI70" s="143"/>
      <c r="KBJ70" s="144"/>
      <c r="KBK70" s="144"/>
      <c r="KBL70" s="143"/>
      <c r="KBM70" s="145"/>
      <c r="KBN70" s="143"/>
      <c r="KBO70" s="145"/>
      <c r="KBP70" s="146"/>
      <c r="KBQ70" s="147"/>
      <c r="KBR70"/>
      <c r="KBS70" s="148"/>
      <c r="KBT70"/>
      <c r="KBU70" s="140"/>
      <c r="KBV70" s="149"/>
      <c r="KBW70"/>
      <c r="KBX70" s="142"/>
      <c r="KBY70" s="143"/>
      <c r="KBZ70" s="144"/>
      <c r="KCA70" s="144"/>
      <c r="KCB70" s="143"/>
      <c r="KCC70" s="145"/>
      <c r="KCD70" s="143"/>
      <c r="KCE70" s="145"/>
      <c r="KCF70" s="146"/>
      <c r="KCG70" s="147"/>
      <c r="KCH70"/>
      <c r="KCI70" s="148"/>
      <c r="KCJ70"/>
      <c r="KCK70" s="140"/>
      <c r="KCL70" s="149"/>
      <c r="KCM70"/>
      <c r="KCN70" s="142"/>
      <c r="KCO70" s="143"/>
      <c r="KCP70" s="144"/>
      <c r="KCQ70" s="144"/>
      <c r="KCR70" s="143"/>
      <c r="KCS70" s="145"/>
      <c r="KCT70" s="143"/>
      <c r="KCU70" s="145"/>
      <c r="KCV70" s="146"/>
      <c r="KCW70" s="147"/>
      <c r="KCX70"/>
      <c r="KCY70" s="148"/>
      <c r="KCZ70"/>
      <c r="KDA70" s="140"/>
      <c r="KDB70" s="149"/>
      <c r="KDC70"/>
      <c r="KDD70" s="142"/>
      <c r="KDE70" s="143"/>
      <c r="KDF70" s="144"/>
      <c r="KDG70" s="144"/>
      <c r="KDH70" s="143"/>
      <c r="KDI70" s="145"/>
      <c r="KDJ70" s="143"/>
      <c r="KDK70" s="145"/>
      <c r="KDL70" s="146"/>
      <c r="KDM70" s="147"/>
      <c r="KDN70"/>
      <c r="KDO70" s="148"/>
      <c r="KDP70"/>
      <c r="KDQ70" s="140"/>
      <c r="KDR70" s="149"/>
      <c r="KDS70"/>
      <c r="KDT70" s="142"/>
      <c r="KDU70" s="143"/>
      <c r="KDV70" s="144"/>
      <c r="KDW70" s="144"/>
      <c r="KDX70" s="143"/>
      <c r="KDY70" s="145"/>
      <c r="KDZ70" s="143"/>
      <c r="KEA70" s="145"/>
      <c r="KEB70" s="146"/>
      <c r="KEC70" s="147"/>
      <c r="KED70"/>
      <c r="KEE70" s="148"/>
      <c r="KEF70"/>
      <c r="KEG70" s="140"/>
      <c r="KEH70" s="149"/>
      <c r="KEI70"/>
      <c r="KEJ70" s="142"/>
      <c r="KEK70" s="143"/>
      <c r="KEL70" s="144"/>
      <c r="KEM70" s="144"/>
      <c r="KEN70" s="143"/>
      <c r="KEO70" s="145"/>
      <c r="KEP70" s="143"/>
      <c r="KEQ70" s="145"/>
      <c r="KER70" s="146"/>
      <c r="KES70" s="147"/>
      <c r="KET70"/>
      <c r="KEU70" s="148"/>
      <c r="KEV70"/>
      <c r="KEW70" s="140"/>
      <c r="KEX70" s="149"/>
      <c r="KEY70"/>
      <c r="KEZ70" s="142"/>
      <c r="KFA70" s="143"/>
      <c r="KFB70" s="144"/>
      <c r="KFC70" s="144"/>
      <c r="KFD70" s="143"/>
      <c r="KFE70" s="145"/>
      <c r="KFF70" s="143"/>
      <c r="KFG70" s="145"/>
      <c r="KFH70" s="146"/>
      <c r="KFI70" s="147"/>
      <c r="KFJ70"/>
      <c r="KFK70" s="148"/>
      <c r="KFL70"/>
      <c r="KFM70" s="140"/>
      <c r="KFN70" s="149"/>
      <c r="KFO70"/>
      <c r="KFP70" s="142"/>
      <c r="KFQ70" s="143"/>
      <c r="KFR70" s="144"/>
      <c r="KFS70" s="144"/>
      <c r="KFT70" s="143"/>
      <c r="KFU70" s="145"/>
      <c r="KFV70" s="143"/>
      <c r="KFW70" s="145"/>
      <c r="KFX70" s="146"/>
      <c r="KFY70" s="147"/>
      <c r="KFZ70"/>
      <c r="KGA70" s="148"/>
      <c r="KGB70"/>
      <c r="KGC70" s="140"/>
      <c r="KGD70" s="149"/>
      <c r="KGE70"/>
      <c r="KGF70" s="142"/>
      <c r="KGG70" s="143"/>
      <c r="KGH70" s="144"/>
      <c r="KGI70" s="144"/>
      <c r="KGJ70" s="143"/>
      <c r="KGK70" s="145"/>
      <c r="KGL70" s="143"/>
      <c r="KGM70" s="145"/>
      <c r="KGN70" s="146"/>
      <c r="KGO70" s="147"/>
      <c r="KGP70"/>
      <c r="KGQ70" s="148"/>
      <c r="KGR70"/>
      <c r="KGS70" s="140"/>
      <c r="KGT70" s="149"/>
      <c r="KGU70"/>
      <c r="KGV70" s="142"/>
      <c r="KGW70" s="143"/>
      <c r="KGX70" s="144"/>
      <c r="KGY70" s="144"/>
      <c r="KGZ70" s="143"/>
      <c r="KHA70" s="145"/>
      <c r="KHB70" s="143"/>
      <c r="KHC70" s="145"/>
      <c r="KHD70" s="146"/>
      <c r="KHE70" s="147"/>
      <c r="KHF70"/>
      <c r="KHG70" s="148"/>
      <c r="KHH70"/>
      <c r="KHI70" s="140"/>
      <c r="KHJ70" s="149"/>
      <c r="KHK70"/>
      <c r="KHL70" s="142"/>
      <c r="KHM70" s="143"/>
      <c r="KHN70" s="144"/>
      <c r="KHO70" s="144"/>
      <c r="KHP70" s="143"/>
      <c r="KHQ70" s="145"/>
      <c r="KHR70" s="143"/>
      <c r="KHS70" s="145"/>
      <c r="KHT70" s="146"/>
      <c r="KHU70" s="147"/>
      <c r="KHV70"/>
      <c r="KHW70" s="148"/>
      <c r="KHX70"/>
      <c r="KHY70" s="140"/>
      <c r="KHZ70" s="149"/>
      <c r="KIA70"/>
      <c r="KIB70" s="142"/>
      <c r="KIC70" s="143"/>
      <c r="KID70" s="144"/>
      <c r="KIE70" s="144"/>
      <c r="KIF70" s="143"/>
      <c r="KIG70" s="145"/>
      <c r="KIH70" s="143"/>
      <c r="KII70" s="145"/>
      <c r="KIJ70" s="146"/>
      <c r="KIK70" s="147"/>
      <c r="KIL70"/>
      <c r="KIM70" s="148"/>
      <c r="KIN70"/>
      <c r="KIO70" s="140"/>
      <c r="KIP70" s="149"/>
      <c r="KIQ70"/>
      <c r="KIR70" s="142"/>
      <c r="KIS70" s="143"/>
      <c r="KIT70" s="144"/>
      <c r="KIU70" s="144"/>
      <c r="KIV70" s="143"/>
      <c r="KIW70" s="145"/>
      <c r="KIX70" s="143"/>
      <c r="KIY70" s="145"/>
      <c r="KIZ70" s="146"/>
      <c r="KJA70" s="147"/>
      <c r="KJB70"/>
      <c r="KJC70" s="148"/>
      <c r="KJD70"/>
      <c r="KJE70" s="140"/>
      <c r="KJF70" s="149"/>
      <c r="KJG70"/>
      <c r="KJH70" s="142"/>
      <c r="KJI70" s="143"/>
      <c r="KJJ70" s="144"/>
      <c r="KJK70" s="144"/>
      <c r="KJL70" s="143"/>
      <c r="KJM70" s="145"/>
      <c r="KJN70" s="143"/>
      <c r="KJO70" s="145"/>
      <c r="KJP70" s="146"/>
      <c r="KJQ70" s="147"/>
      <c r="KJR70"/>
      <c r="KJS70" s="148"/>
      <c r="KJT70"/>
      <c r="KJU70" s="140"/>
      <c r="KJV70" s="149"/>
      <c r="KJW70"/>
      <c r="KJX70" s="142"/>
      <c r="KJY70" s="143"/>
      <c r="KJZ70" s="144"/>
      <c r="KKA70" s="144"/>
      <c r="KKB70" s="143"/>
      <c r="KKC70" s="145"/>
      <c r="KKD70" s="143"/>
      <c r="KKE70" s="145"/>
      <c r="KKF70" s="146"/>
      <c r="KKG70" s="147"/>
      <c r="KKH70"/>
      <c r="KKI70" s="148"/>
      <c r="KKJ70"/>
      <c r="KKK70" s="140"/>
      <c r="KKL70" s="149"/>
      <c r="KKM70"/>
      <c r="KKN70" s="142"/>
      <c r="KKO70" s="143"/>
      <c r="KKP70" s="144"/>
      <c r="KKQ70" s="144"/>
      <c r="KKR70" s="143"/>
      <c r="KKS70" s="145"/>
      <c r="KKT70" s="143"/>
      <c r="KKU70" s="145"/>
      <c r="KKV70" s="146"/>
      <c r="KKW70" s="147"/>
      <c r="KKX70"/>
      <c r="KKY70" s="148"/>
      <c r="KKZ70"/>
      <c r="KLA70" s="140"/>
      <c r="KLB70" s="149"/>
      <c r="KLC70"/>
      <c r="KLD70" s="142"/>
      <c r="KLE70" s="143"/>
      <c r="KLF70" s="144"/>
      <c r="KLG70" s="144"/>
      <c r="KLH70" s="143"/>
      <c r="KLI70" s="145"/>
      <c r="KLJ70" s="143"/>
      <c r="KLK70" s="145"/>
      <c r="KLL70" s="146"/>
      <c r="KLM70" s="147"/>
      <c r="KLN70"/>
      <c r="KLO70" s="148"/>
      <c r="KLP70"/>
      <c r="KLQ70" s="140"/>
      <c r="KLR70" s="149"/>
      <c r="KLS70"/>
      <c r="KLT70" s="142"/>
      <c r="KLU70" s="143"/>
      <c r="KLV70" s="144"/>
      <c r="KLW70" s="144"/>
      <c r="KLX70" s="143"/>
      <c r="KLY70" s="145"/>
      <c r="KLZ70" s="143"/>
      <c r="KMA70" s="145"/>
      <c r="KMB70" s="146"/>
      <c r="KMC70" s="147"/>
      <c r="KMD70"/>
      <c r="KME70" s="148"/>
      <c r="KMF70"/>
      <c r="KMG70" s="140"/>
      <c r="KMH70" s="149"/>
      <c r="KMI70"/>
      <c r="KMJ70" s="142"/>
      <c r="KMK70" s="143"/>
      <c r="KML70" s="144"/>
      <c r="KMM70" s="144"/>
      <c r="KMN70" s="143"/>
      <c r="KMO70" s="145"/>
      <c r="KMP70" s="143"/>
      <c r="KMQ70" s="145"/>
      <c r="KMR70" s="146"/>
      <c r="KMS70" s="147"/>
      <c r="KMT70"/>
      <c r="KMU70" s="148"/>
      <c r="KMV70"/>
      <c r="KMW70" s="140"/>
      <c r="KMX70" s="149"/>
      <c r="KMY70"/>
      <c r="KMZ70" s="142"/>
      <c r="KNA70" s="143"/>
      <c r="KNB70" s="144"/>
      <c r="KNC70" s="144"/>
      <c r="KND70" s="143"/>
      <c r="KNE70" s="145"/>
      <c r="KNF70" s="143"/>
      <c r="KNG70" s="145"/>
      <c r="KNH70" s="146"/>
      <c r="KNI70" s="147"/>
      <c r="KNJ70"/>
      <c r="KNK70" s="148"/>
      <c r="KNL70"/>
      <c r="KNM70" s="140"/>
      <c r="KNN70" s="149"/>
      <c r="KNO70"/>
      <c r="KNP70" s="142"/>
      <c r="KNQ70" s="143"/>
      <c r="KNR70" s="144"/>
      <c r="KNS70" s="144"/>
      <c r="KNT70" s="143"/>
      <c r="KNU70" s="145"/>
      <c r="KNV70" s="143"/>
      <c r="KNW70" s="145"/>
      <c r="KNX70" s="146"/>
      <c r="KNY70" s="147"/>
      <c r="KNZ70"/>
      <c r="KOA70" s="148"/>
      <c r="KOB70"/>
      <c r="KOC70" s="140"/>
      <c r="KOD70" s="149"/>
      <c r="KOE70"/>
      <c r="KOF70" s="142"/>
      <c r="KOG70" s="143"/>
      <c r="KOH70" s="144"/>
      <c r="KOI70" s="144"/>
      <c r="KOJ70" s="143"/>
      <c r="KOK70" s="145"/>
      <c r="KOL70" s="143"/>
      <c r="KOM70" s="145"/>
      <c r="KON70" s="146"/>
      <c r="KOO70" s="147"/>
      <c r="KOP70"/>
      <c r="KOQ70" s="148"/>
      <c r="KOR70"/>
      <c r="KOS70" s="140"/>
      <c r="KOT70" s="149"/>
      <c r="KOU70"/>
      <c r="KOV70" s="142"/>
      <c r="KOW70" s="143"/>
      <c r="KOX70" s="144"/>
      <c r="KOY70" s="144"/>
      <c r="KOZ70" s="143"/>
      <c r="KPA70" s="145"/>
      <c r="KPB70" s="143"/>
      <c r="KPC70" s="145"/>
      <c r="KPD70" s="146"/>
      <c r="KPE70" s="147"/>
      <c r="KPF70"/>
      <c r="KPG70" s="148"/>
      <c r="KPH70"/>
      <c r="KPI70" s="140"/>
      <c r="KPJ70" s="149"/>
      <c r="KPK70"/>
      <c r="KPL70" s="142"/>
      <c r="KPM70" s="143"/>
      <c r="KPN70" s="144"/>
      <c r="KPO70" s="144"/>
      <c r="KPP70" s="143"/>
      <c r="KPQ70" s="145"/>
      <c r="KPR70" s="143"/>
      <c r="KPS70" s="145"/>
      <c r="KPT70" s="146"/>
      <c r="KPU70" s="147"/>
      <c r="KPV70"/>
      <c r="KPW70" s="148"/>
      <c r="KPX70"/>
      <c r="KPY70" s="140"/>
      <c r="KPZ70" s="149"/>
      <c r="KQA70"/>
      <c r="KQB70" s="142"/>
      <c r="KQC70" s="143"/>
      <c r="KQD70" s="144"/>
      <c r="KQE70" s="144"/>
      <c r="KQF70" s="143"/>
      <c r="KQG70" s="145"/>
      <c r="KQH70" s="143"/>
      <c r="KQI70" s="145"/>
      <c r="KQJ70" s="146"/>
      <c r="KQK70" s="147"/>
      <c r="KQL70"/>
      <c r="KQM70" s="148"/>
      <c r="KQN70"/>
      <c r="KQO70" s="140"/>
      <c r="KQP70" s="149"/>
      <c r="KQQ70"/>
      <c r="KQR70" s="142"/>
      <c r="KQS70" s="143"/>
      <c r="KQT70" s="144"/>
      <c r="KQU70" s="144"/>
      <c r="KQV70" s="143"/>
      <c r="KQW70" s="145"/>
      <c r="KQX70" s="143"/>
      <c r="KQY70" s="145"/>
      <c r="KQZ70" s="146"/>
      <c r="KRA70" s="147"/>
      <c r="KRB70"/>
      <c r="KRC70" s="148"/>
      <c r="KRD70"/>
      <c r="KRE70" s="140"/>
      <c r="KRF70" s="149"/>
      <c r="KRG70"/>
      <c r="KRH70" s="142"/>
      <c r="KRI70" s="143"/>
      <c r="KRJ70" s="144"/>
      <c r="KRK70" s="144"/>
      <c r="KRL70" s="143"/>
      <c r="KRM70" s="145"/>
      <c r="KRN70" s="143"/>
      <c r="KRO70" s="145"/>
      <c r="KRP70" s="146"/>
      <c r="KRQ70" s="147"/>
      <c r="KRR70"/>
      <c r="KRS70" s="148"/>
      <c r="KRT70"/>
      <c r="KRU70" s="140"/>
      <c r="KRV70" s="149"/>
      <c r="KRW70"/>
      <c r="KRX70" s="142"/>
      <c r="KRY70" s="143"/>
      <c r="KRZ70" s="144"/>
      <c r="KSA70" s="144"/>
      <c r="KSB70" s="143"/>
      <c r="KSC70" s="145"/>
      <c r="KSD70" s="143"/>
      <c r="KSE70" s="145"/>
      <c r="KSF70" s="146"/>
      <c r="KSG70" s="147"/>
      <c r="KSH70"/>
      <c r="KSI70" s="148"/>
      <c r="KSJ70"/>
      <c r="KSK70" s="140"/>
      <c r="KSL70" s="149"/>
      <c r="KSM70"/>
      <c r="KSN70" s="142"/>
      <c r="KSO70" s="143"/>
      <c r="KSP70" s="144"/>
      <c r="KSQ70" s="144"/>
      <c r="KSR70" s="143"/>
      <c r="KSS70" s="145"/>
      <c r="KST70" s="143"/>
      <c r="KSU70" s="145"/>
      <c r="KSV70" s="146"/>
      <c r="KSW70" s="147"/>
      <c r="KSX70"/>
      <c r="KSY70" s="148"/>
      <c r="KSZ70"/>
      <c r="KTA70" s="140"/>
      <c r="KTB70" s="149"/>
      <c r="KTC70"/>
      <c r="KTD70" s="142"/>
      <c r="KTE70" s="143"/>
      <c r="KTF70" s="144"/>
      <c r="KTG70" s="144"/>
      <c r="KTH70" s="143"/>
      <c r="KTI70" s="145"/>
      <c r="KTJ70" s="143"/>
      <c r="KTK70" s="145"/>
      <c r="KTL70" s="146"/>
      <c r="KTM70" s="147"/>
      <c r="KTN70"/>
      <c r="KTO70" s="148"/>
      <c r="KTP70"/>
      <c r="KTQ70" s="140"/>
      <c r="KTR70" s="149"/>
      <c r="KTS70"/>
      <c r="KTT70" s="142"/>
      <c r="KTU70" s="143"/>
      <c r="KTV70" s="144"/>
      <c r="KTW70" s="144"/>
      <c r="KTX70" s="143"/>
      <c r="KTY70" s="145"/>
      <c r="KTZ70" s="143"/>
      <c r="KUA70" s="145"/>
      <c r="KUB70" s="146"/>
      <c r="KUC70" s="147"/>
      <c r="KUD70"/>
      <c r="KUE70" s="148"/>
      <c r="KUF70"/>
      <c r="KUG70" s="140"/>
      <c r="KUH70" s="149"/>
      <c r="KUI70"/>
      <c r="KUJ70" s="142"/>
      <c r="KUK70" s="143"/>
      <c r="KUL70" s="144"/>
      <c r="KUM70" s="144"/>
      <c r="KUN70" s="143"/>
      <c r="KUO70" s="145"/>
      <c r="KUP70" s="143"/>
      <c r="KUQ70" s="145"/>
      <c r="KUR70" s="146"/>
      <c r="KUS70" s="147"/>
      <c r="KUT70"/>
      <c r="KUU70" s="148"/>
      <c r="KUV70"/>
      <c r="KUW70" s="140"/>
      <c r="KUX70" s="149"/>
      <c r="KUY70"/>
      <c r="KUZ70" s="142"/>
      <c r="KVA70" s="143"/>
      <c r="KVB70" s="144"/>
      <c r="KVC70" s="144"/>
      <c r="KVD70" s="143"/>
      <c r="KVE70" s="145"/>
      <c r="KVF70" s="143"/>
      <c r="KVG70" s="145"/>
      <c r="KVH70" s="146"/>
      <c r="KVI70" s="147"/>
      <c r="KVJ70"/>
      <c r="KVK70" s="148"/>
      <c r="KVL70"/>
      <c r="KVM70" s="140"/>
      <c r="KVN70" s="149"/>
      <c r="KVO70"/>
      <c r="KVP70" s="142"/>
      <c r="KVQ70" s="143"/>
      <c r="KVR70" s="144"/>
      <c r="KVS70" s="144"/>
      <c r="KVT70" s="143"/>
      <c r="KVU70" s="145"/>
      <c r="KVV70" s="143"/>
      <c r="KVW70" s="145"/>
      <c r="KVX70" s="146"/>
      <c r="KVY70" s="147"/>
      <c r="KVZ70"/>
      <c r="KWA70" s="148"/>
      <c r="KWB70"/>
      <c r="KWC70" s="140"/>
      <c r="KWD70" s="149"/>
      <c r="KWE70"/>
      <c r="KWF70" s="142"/>
      <c r="KWG70" s="143"/>
      <c r="KWH70" s="144"/>
      <c r="KWI70" s="144"/>
      <c r="KWJ70" s="143"/>
      <c r="KWK70" s="145"/>
      <c r="KWL70" s="143"/>
      <c r="KWM70" s="145"/>
      <c r="KWN70" s="146"/>
      <c r="KWO70" s="147"/>
      <c r="KWP70"/>
      <c r="KWQ70" s="148"/>
      <c r="KWR70"/>
      <c r="KWS70" s="140"/>
      <c r="KWT70" s="149"/>
      <c r="KWU70"/>
      <c r="KWV70" s="142"/>
      <c r="KWW70" s="143"/>
      <c r="KWX70" s="144"/>
      <c r="KWY70" s="144"/>
      <c r="KWZ70" s="143"/>
      <c r="KXA70" s="145"/>
      <c r="KXB70" s="143"/>
      <c r="KXC70" s="145"/>
      <c r="KXD70" s="146"/>
      <c r="KXE70" s="147"/>
      <c r="KXF70"/>
      <c r="KXG70" s="148"/>
      <c r="KXH70"/>
      <c r="KXI70" s="140"/>
      <c r="KXJ70" s="149"/>
      <c r="KXK70"/>
      <c r="KXL70" s="142"/>
      <c r="KXM70" s="143"/>
      <c r="KXN70" s="144"/>
      <c r="KXO70" s="144"/>
      <c r="KXP70" s="143"/>
      <c r="KXQ70" s="145"/>
      <c r="KXR70" s="143"/>
      <c r="KXS70" s="145"/>
      <c r="KXT70" s="146"/>
      <c r="KXU70" s="147"/>
      <c r="KXV70"/>
      <c r="KXW70" s="148"/>
      <c r="KXX70"/>
      <c r="KXY70" s="140"/>
      <c r="KXZ70" s="149"/>
      <c r="KYA70"/>
      <c r="KYB70" s="142"/>
      <c r="KYC70" s="143"/>
      <c r="KYD70" s="144"/>
      <c r="KYE70" s="144"/>
      <c r="KYF70" s="143"/>
      <c r="KYG70" s="145"/>
      <c r="KYH70" s="143"/>
      <c r="KYI70" s="145"/>
      <c r="KYJ70" s="146"/>
      <c r="KYK70" s="147"/>
      <c r="KYL70"/>
      <c r="KYM70" s="148"/>
      <c r="KYN70"/>
      <c r="KYO70" s="140"/>
      <c r="KYP70" s="149"/>
      <c r="KYQ70"/>
      <c r="KYR70" s="142"/>
      <c r="KYS70" s="143"/>
      <c r="KYT70" s="144"/>
      <c r="KYU70" s="144"/>
      <c r="KYV70" s="143"/>
      <c r="KYW70" s="145"/>
      <c r="KYX70" s="143"/>
      <c r="KYY70" s="145"/>
      <c r="KYZ70" s="146"/>
      <c r="KZA70" s="147"/>
      <c r="KZB70"/>
      <c r="KZC70" s="148"/>
      <c r="KZD70"/>
      <c r="KZE70" s="140"/>
      <c r="KZF70" s="149"/>
      <c r="KZG70"/>
      <c r="KZH70" s="142"/>
      <c r="KZI70" s="143"/>
      <c r="KZJ70" s="144"/>
      <c r="KZK70" s="144"/>
      <c r="KZL70" s="143"/>
      <c r="KZM70" s="145"/>
      <c r="KZN70" s="143"/>
      <c r="KZO70" s="145"/>
      <c r="KZP70" s="146"/>
      <c r="KZQ70" s="147"/>
      <c r="KZR70"/>
      <c r="KZS70" s="148"/>
      <c r="KZT70"/>
      <c r="KZU70" s="140"/>
      <c r="KZV70" s="149"/>
      <c r="KZW70"/>
      <c r="KZX70" s="142"/>
      <c r="KZY70" s="143"/>
      <c r="KZZ70" s="144"/>
      <c r="LAA70" s="144"/>
      <c r="LAB70" s="143"/>
      <c r="LAC70" s="145"/>
      <c r="LAD70" s="143"/>
      <c r="LAE70" s="145"/>
      <c r="LAF70" s="146"/>
      <c r="LAG70" s="147"/>
      <c r="LAH70"/>
      <c r="LAI70" s="148"/>
      <c r="LAJ70"/>
      <c r="LAK70" s="140"/>
      <c r="LAL70" s="149"/>
      <c r="LAM70"/>
      <c r="LAN70" s="142"/>
      <c r="LAO70" s="143"/>
      <c r="LAP70" s="144"/>
      <c r="LAQ70" s="144"/>
      <c r="LAR70" s="143"/>
      <c r="LAS70" s="145"/>
      <c r="LAT70" s="143"/>
      <c r="LAU70" s="145"/>
      <c r="LAV70" s="146"/>
      <c r="LAW70" s="147"/>
      <c r="LAX70"/>
      <c r="LAY70" s="148"/>
      <c r="LAZ70"/>
      <c r="LBA70" s="140"/>
      <c r="LBB70" s="149"/>
      <c r="LBC70"/>
      <c r="LBD70" s="142"/>
      <c r="LBE70" s="143"/>
      <c r="LBF70" s="144"/>
      <c r="LBG70" s="144"/>
      <c r="LBH70" s="143"/>
      <c r="LBI70" s="145"/>
      <c r="LBJ70" s="143"/>
      <c r="LBK70" s="145"/>
      <c r="LBL70" s="146"/>
      <c r="LBM70" s="147"/>
      <c r="LBN70"/>
      <c r="LBO70" s="148"/>
      <c r="LBP70"/>
      <c r="LBQ70" s="140"/>
      <c r="LBR70" s="149"/>
      <c r="LBS70"/>
      <c r="LBT70" s="142"/>
      <c r="LBU70" s="143"/>
      <c r="LBV70" s="144"/>
      <c r="LBW70" s="144"/>
      <c r="LBX70" s="143"/>
      <c r="LBY70" s="145"/>
      <c r="LBZ70" s="143"/>
      <c r="LCA70" s="145"/>
      <c r="LCB70" s="146"/>
      <c r="LCC70" s="147"/>
      <c r="LCD70"/>
      <c r="LCE70" s="148"/>
      <c r="LCF70"/>
      <c r="LCG70" s="140"/>
      <c r="LCH70" s="149"/>
      <c r="LCI70"/>
      <c r="LCJ70" s="142"/>
      <c r="LCK70" s="143"/>
      <c r="LCL70" s="144"/>
      <c r="LCM70" s="144"/>
      <c r="LCN70" s="143"/>
      <c r="LCO70" s="145"/>
      <c r="LCP70" s="143"/>
      <c r="LCQ70" s="145"/>
      <c r="LCR70" s="146"/>
      <c r="LCS70" s="147"/>
      <c r="LCT70"/>
      <c r="LCU70" s="148"/>
      <c r="LCV70"/>
      <c r="LCW70" s="140"/>
      <c r="LCX70" s="149"/>
      <c r="LCY70"/>
      <c r="LCZ70" s="142"/>
      <c r="LDA70" s="143"/>
      <c r="LDB70" s="144"/>
      <c r="LDC70" s="144"/>
      <c r="LDD70" s="143"/>
      <c r="LDE70" s="145"/>
      <c r="LDF70" s="143"/>
      <c r="LDG70" s="145"/>
      <c r="LDH70" s="146"/>
      <c r="LDI70" s="147"/>
      <c r="LDJ70"/>
      <c r="LDK70" s="148"/>
      <c r="LDL70"/>
      <c r="LDM70" s="140"/>
      <c r="LDN70" s="149"/>
      <c r="LDO70"/>
      <c r="LDP70" s="142"/>
      <c r="LDQ70" s="143"/>
      <c r="LDR70" s="144"/>
      <c r="LDS70" s="144"/>
      <c r="LDT70" s="143"/>
      <c r="LDU70" s="145"/>
      <c r="LDV70" s="143"/>
      <c r="LDW70" s="145"/>
      <c r="LDX70" s="146"/>
      <c r="LDY70" s="147"/>
      <c r="LDZ70"/>
      <c r="LEA70" s="148"/>
      <c r="LEB70"/>
      <c r="LEC70" s="140"/>
      <c r="LED70" s="149"/>
      <c r="LEE70"/>
      <c r="LEF70" s="142"/>
      <c r="LEG70" s="143"/>
      <c r="LEH70" s="144"/>
      <c r="LEI70" s="144"/>
      <c r="LEJ70" s="143"/>
      <c r="LEK70" s="145"/>
      <c r="LEL70" s="143"/>
      <c r="LEM70" s="145"/>
      <c r="LEN70" s="146"/>
      <c r="LEO70" s="147"/>
      <c r="LEP70"/>
      <c r="LEQ70" s="148"/>
      <c r="LER70"/>
      <c r="LES70" s="140"/>
      <c r="LET70" s="149"/>
      <c r="LEU70"/>
      <c r="LEV70" s="142"/>
      <c r="LEW70" s="143"/>
      <c r="LEX70" s="144"/>
      <c r="LEY70" s="144"/>
      <c r="LEZ70" s="143"/>
      <c r="LFA70" s="145"/>
      <c r="LFB70" s="143"/>
      <c r="LFC70" s="145"/>
      <c r="LFD70" s="146"/>
      <c r="LFE70" s="147"/>
      <c r="LFF70"/>
      <c r="LFG70" s="148"/>
      <c r="LFH70"/>
      <c r="LFI70" s="140"/>
      <c r="LFJ70" s="149"/>
      <c r="LFK70"/>
      <c r="LFL70" s="142"/>
      <c r="LFM70" s="143"/>
      <c r="LFN70" s="144"/>
      <c r="LFO70" s="144"/>
      <c r="LFP70" s="143"/>
      <c r="LFQ70" s="145"/>
      <c r="LFR70" s="143"/>
      <c r="LFS70" s="145"/>
      <c r="LFT70" s="146"/>
      <c r="LFU70" s="147"/>
      <c r="LFV70"/>
      <c r="LFW70" s="148"/>
      <c r="LFX70"/>
      <c r="LFY70" s="140"/>
      <c r="LFZ70" s="149"/>
      <c r="LGA70"/>
      <c r="LGB70" s="142"/>
      <c r="LGC70" s="143"/>
      <c r="LGD70" s="144"/>
      <c r="LGE70" s="144"/>
      <c r="LGF70" s="143"/>
      <c r="LGG70" s="145"/>
      <c r="LGH70" s="143"/>
      <c r="LGI70" s="145"/>
      <c r="LGJ70" s="146"/>
      <c r="LGK70" s="147"/>
      <c r="LGL70"/>
      <c r="LGM70" s="148"/>
      <c r="LGN70"/>
      <c r="LGO70" s="140"/>
      <c r="LGP70" s="149"/>
      <c r="LGQ70"/>
      <c r="LGR70" s="142"/>
      <c r="LGS70" s="143"/>
      <c r="LGT70" s="144"/>
      <c r="LGU70" s="144"/>
      <c r="LGV70" s="143"/>
      <c r="LGW70" s="145"/>
      <c r="LGX70" s="143"/>
      <c r="LGY70" s="145"/>
      <c r="LGZ70" s="146"/>
      <c r="LHA70" s="147"/>
      <c r="LHB70"/>
      <c r="LHC70" s="148"/>
      <c r="LHD70"/>
      <c r="LHE70" s="140"/>
      <c r="LHF70" s="149"/>
      <c r="LHG70"/>
      <c r="LHH70" s="142"/>
      <c r="LHI70" s="143"/>
      <c r="LHJ70" s="144"/>
      <c r="LHK70" s="144"/>
      <c r="LHL70" s="143"/>
      <c r="LHM70" s="145"/>
      <c r="LHN70" s="143"/>
      <c r="LHO70" s="145"/>
      <c r="LHP70" s="146"/>
      <c r="LHQ70" s="147"/>
      <c r="LHR70"/>
      <c r="LHS70" s="148"/>
      <c r="LHT70"/>
      <c r="LHU70" s="140"/>
      <c r="LHV70" s="149"/>
      <c r="LHW70"/>
      <c r="LHX70" s="142"/>
      <c r="LHY70" s="143"/>
      <c r="LHZ70" s="144"/>
      <c r="LIA70" s="144"/>
      <c r="LIB70" s="143"/>
      <c r="LIC70" s="145"/>
      <c r="LID70" s="143"/>
      <c r="LIE70" s="145"/>
      <c r="LIF70" s="146"/>
      <c r="LIG70" s="147"/>
      <c r="LIH70"/>
      <c r="LII70" s="148"/>
      <c r="LIJ70"/>
      <c r="LIK70" s="140"/>
      <c r="LIL70" s="149"/>
      <c r="LIM70"/>
      <c r="LIN70" s="142"/>
      <c r="LIO70" s="143"/>
      <c r="LIP70" s="144"/>
      <c r="LIQ70" s="144"/>
      <c r="LIR70" s="143"/>
      <c r="LIS70" s="145"/>
      <c r="LIT70" s="143"/>
      <c r="LIU70" s="145"/>
      <c r="LIV70" s="146"/>
      <c r="LIW70" s="147"/>
      <c r="LIX70"/>
      <c r="LIY70" s="148"/>
      <c r="LIZ70"/>
      <c r="LJA70" s="140"/>
      <c r="LJB70" s="149"/>
      <c r="LJC70"/>
      <c r="LJD70" s="142"/>
      <c r="LJE70" s="143"/>
      <c r="LJF70" s="144"/>
      <c r="LJG70" s="144"/>
      <c r="LJH70" s="143"/>
      <c r="LJI70" s="145"/>
      <c r="LJJ70" s="143"/>
      <c r="LJK70" s="145"/>
      <c r="LJL70" s="146"/>
      <c r="LJM70" s="147"/>
      <c r="LJN70"/>
      <c r="LJO70" s="148"/>
      <c r="LJP70"/>
      <c r="LJQ70" s="140"/>
      <c r="LJR70" s="149"/>
      <c r="LJS70"/>
      <c r="LJT70" s="142"/>
      <c r="LJU70" s="143"/>
      <c r="LJV70" s="144"/>
      <c r="LJW70" s="144"/>
      <c r="LJX70" s="143"/>
      <c r="LJY70" s="145"/>
      <c r="LJZ70" s="143"/>
      <c r="LKA70" s="145"/>
      <c r="LKB70" s="146"/>
      <c r="LKC70" s="147"/>
      <c r="LKD70"/>
      <c r="LKE70" s="148"/>
      <c r="LKF70"/>
      <c r="LKG70" s="140"/>
      <c r="LKH70" s="149"/>
      <c r="LKI70"/>
      <c r="LKJ70" s="142"/>
      <c r="LKK70" s="143"/>
      <c r="LKL70" s="144"/>
      <c r="LKM70" s="144"/>
      <c r="LKN70" s="143"/>
      <c r="LKO70" s="145"/>
      <c r="LKP70" s="143"/>
      <c r="LKQ70" s="145"/>
      <c r="LKR70" s="146"/>
      <c r="LKS70" s="147"/>
      <c r="LKT70"/>
      <c r="LKU70" s="148"/>
      <c r="LKV70"/>
      <c r="LKW70" s="140"/>
      <c r="LKX70" s="149"/>
      <c r="LKY70"/>
      <c r="LKZ70" s="142"/>
      <c r="LLA70" s="143"/>
      <c r="LLB70" s="144"/>
      <c r="LLC70" s="144"/>
      <c r="LLD70" s="143"/>
      <c r="LLE70" s="145"/>
      <c r="LLF70" s="143"/>
      <c r="LLG70" s="145"/>
      <c r="LLH70" s="146"/>
      <c r="LLI70" s="147"/>
      <c r="LLJ70"/>
      <c r="LLK70" s="148"/>
      <c r="LLL70"/>
      <c r="LLM70" s="140"/>
      <c r="LLN70" s="149"/>
      <c r="LLO70"/>
      <c r="LLP70" s="142"/>
      <c r="LLQ70" s="143"/>
      <c r="LLR70" s="144"/>
      <c r="LLS70" s="144"/>
      <c r="LLT70" s="143"/>
      <c r="LLU70" s="145"/>
      <c r="LLV70" s="143"/>
      <c r="LLW70" s="145"/>
      <c r="LLX70" s="146"/>
      <c r="LLY70" s="147"/>
      <c r="LLZ70"/>
      <c r="LMA70" s="148"/>
      <c r="LMB70"/>
      <c r="LMC70" s="140"/>
      <c r="LMD70" s="149"/>
      <c r="LME70"/>
      <c r="LMF70" s="142"/>
      <c r="LMG70" s="143"/>
      <c r="LMH70" s="144"/>
      <c r="LMI70" s="144"/>
      <c r="LMJ70" s="143"/>
      <c r="LMK70" s="145"/>
      <c r="LML70" s="143"/>
      <c r="LMM70" s="145"/>
      <c r="LMN70" s="146"/>
      <c r="LMO70" s="147"/>
      <c r="LMP70"/>
      <c r="LMQ70" s="148"/>
      <c r="LMR70"/>
      <c r="LMS70" s="140"/>
      <c r="LMT70" s="149"/>
      <c r="LMU70"/>
      <c r="LMV70" s="142"/>
      <c r="LMW70" s="143"/>
      <c r="LMX70" s="144"/>
      <c r="LMY70" s="144"/>
      <c r="LMZ70" s="143"/>
      <c r="LNA70" s="145"/>
      <c r="LNB70" s="143"/>
      <c r="LNC70" s="145"/>
      <c r="LND70" s="146"/>
      <c r="LNE70" s="147"/>
      <c r="LNF70"/>
      <c r="LNG70" s="148"/>
      <c r="LNH70"/>
      <c r="LNI70" s="140"/>
      <c r="LNJ70" s="149"/>
      <c r="LNK70"/>
      <c r="LNL70" s="142"/>
      <c r="LNM70" s="143"/>
      <c r="LNN70" s="144"/>
      <c r="LNO70" s="144"/>
      <c r="LNP70" s="143"/>
      <c r="LNQ70" s="145"/>
      <c r="LNR70" s="143"/>
      <c r="LNS70" s="145"/>
      <c r="LNT70" s="146"/>
      <c r="LNU70" s="147"/>
      <c r="LNV70"/>
      <c r="LNW70" s="148"/>
      <c r="LNX70"/>
      <c r="LNY70" s="140"/>
      <c r="LNZ70" s="149"/>
      <c r="LOA70"/>
      <c r="LOB70" s="142"/>
      <c r="LOC70" s="143"/>
      <c r="LOD70" s="144"/>
      <c r="LOE70" s="144"/>
      <c r="LOF70" s="143"/>
      <c r="LOG70" s="145"/>
      <c r="LOH70" s="143"/>
      <c r="LOI70" s="145"/>
      <c r="LOJ70" s="146"/>
      <c r="LOK70" s="147"/>
      <c r="LOL70"/>
      <c r="LOM70" s="148"/>
      <c r="LON70"/>
      <c r="LOO70" s="140"/>
      <c r="LOP70" s="149"/>
      <c r="LOQ70"/>
      <c r="LOR70" s="142"/>
      <c r="LOS70" s="143"/>
      <c r="LOT70" s="144"/>
      <c r="LOU70" s="144"/>
      <c r="LOV70" s="143"/>
      <c r="LOW70" s="145"/>
      <c r="LOX70" s="143"/>
      <c r="LOY70" s="145"/>
      <c r="LOZ70" s="146"/>
      <c r="LPA70" s="147"/>
      <c r="LPB70"/>
      <c r="LPC70" s="148"/>
      <c r="LPD70"/>
      <c r="LPE70" s="140"/>
      <c r="LPF70" s="149"/>
      <c r="LPG70"/>
      <c r="LPH70" s="142"/>
      <c r="LPI70" s="143"/>
      <c r="LPJ70" s="144"/>
      <c r="LPK70" s="144"/>
      <c r="LPL70" s="143"/>
      <c r="LPM70" s="145"/>
      <c r="LPN70" s="143"/>
      <c r="LPO70" s="145"/>
      <c r="LPP70" s="146"/>
      <c r="LPQ70" s="147"/>
      <c r="LPR70"/>
      <c r="LPS70" s="148"/>
      <c r="LPT70"/>
      <c r="LPU70" s="140"/>
      <c r="LPV70" s="149"/>
      <c r="LPW70"/>
      <c r="LPX70" s="142"/>
      <c r="LPY70" s="143"/>
      <c r="LPZ70" s="144"/>
      <c r="LQA70" s="144"/>
      <c r="LQB70" s="143"/>
      <c r="LQC70" s="145"/>
      <c r="LQD70" s="143"/>
      <c r="LQE70" s="145"/>
      <c r="LQF70" s="146"/>
      <c r="LQG70" s="147"/>
      <c r="LQH70"/>
      <c r="LQI70" s="148"/>
      <c r="LQJ70"/>
      <c r="LQK70" s="140"/>
      <c r="LQL70" s="149"/>
      <c r="LQM70"/>
      <c r="LQN70" s="142"/>
      <c r="LQO70" s="143"/>
      <c r="LQP70" s="144"/>
      <c r="LQQ70" s="144"/>
      <c r="LQR70" s="143"/>
      <c r="LQS70" s="145"/>
      <c r="LQT70" s="143"/>
      <c r="LQU70" s="145"/>
      <c r="LQV70" s="146"/>
      <c r="LQW70" s="147"/>
      <c r="LQX70"/>
      <c r="LQY70" s="148"/>
      <c r="LQZ70"/>
      <c r="LRA70" s="140"/>
      <c r="LRB70" s="149"/>
      <c r="LRC70"/>
      <c r="LRD70" s="142"/>
      <c r="LRE70" s="143"/>
      <c r="LRF70" s="144"/>
      <c r="LRG70" s="144"/>
      <c r="LRH70" s="143"/>
      <c r="LRI70" s="145"/>
      <c r="LRJ70" s="143"/>
      <c r="LRK70" s="145"/>
      <c r="LRL70" s="146"/>
      <c r="LRM70" s="147"/>
      <c r="LRN70"/>
      <c r="LRO70" s="148"/>
      <c r="LRP70"/>
      <c r="LRQ70" s="140"/>
      <c r="LRR70" s="149"/>
      <c r="LRS70"/>
      <c r="LRT70" s="142"/>
      <c r="LRU70" s="143"/>
      <c r="LRV70" s="144"/>
      <c r="LRW70" s="144"/>
      <c r="LRX70" s="143"/>
      <c r="LRY70" s="145"/>
      <c r="LRZ70" s="143"/>
      <c r="LSA70" s="145"/>
      <c r="LSB70" s="146"/>
      <c r="LSC70" s="147"/>
      <c r="LSD70"/>
      <c r="LSE70" s="148"/>
      <c r="LSF70"/>
      <c r="LSG70" s="140"/>
      <c r="LSH70" s="149"/>
      <c r="LSI70"/>
      <c r="LSJ70" s="142"/>
      <c r="LSK70" s="143"/>
      <c r="LSL70" s="144"/>
      <c r="LSM70" s="144"/>
      <c r="LSN70" s="143"/>
      <c r="LSO70" s="145"/>
      <c r="LSP70" s="143"/>
      <c r="LSQ70" s="145"/>
      <c r="LSR70" s="146"/>
      <c r="LSS70" s="147"/>
      <c r="LST70"/>
      <c r="LSU70" s="148"/>
      <c r="LSV70"/>
      <c r="LSW70" s="140"/>
      <c r="LSX70" s="149"/>
      <c r="LSY70"/>
      <c r="LSZ70" s="142"/>
      <c r="LTA70" s="143"/>
      <c r="LTB70" s="144"/>
      <c r="LTC70" s="144"/>
      <c r="LTD70" s="143"/>
      <c r="LTE70" s="145"/>
      <c r="LTF70" s="143"/>
      <c r="LTG70" s="145"/>
      <c r="LTH70" s="146"/>
      <c r="LTI70" s="147"/>
      <c r="LTJ70"/>
      <c r="LTK70" s="148"/>
      <c r="LTL70"/>
      <c r="LTM70" s="140"/>
      <c r="LTN70" s="149"/>
      <c r="LTO70"/>
      <c r="LTP70" s="142"/>
      <c r="LTQ70" s="143"/>
      <c r="LTR70" s="144"/>
      <c r="LTS70" s="144"/>
      <c r="LTT70" s="143"/>
      <c r="LTU70" s="145"/>
      <c r="LTV70" s="143"/>
      <c r="LTW70" s="145"/>
      <c r="LTX70" s="146"/>
      <c r="LTY70" s="147"/>
      <c r="LTZ70"/>
      <c r="LUA70" s="148"/>
      <c r="LUB70"/>
      <c r="LUC70" s="140"/>
      <c r="LUD70" s="149"/>
      <c r="LUE70"/>
      <c r="LUF70" s="142"/>
      <c r="LUG70" s="143"/>
      <c r="LUH70" s="144"/>
      <c r="LUI70" s="144"/>
      <c r="LUJ70" s="143"/>
      <c r="LUK70" s="145"/>
      <c r="LUL70" s="143"/>
      <c r="LUM70" s="145"/>
      <c r="LUN70" s="146"/>
      <c r="LUO70" s="147"/>
      <c r="LUP70"/>
      <c r="LUQ70" s="148"/>
      <c r="LUR70"/>
      <c r="LUS70" s="140"/>
      <c r="LUT70" s="149"/>
      <c r="LUU70"/>
      <c r="LUV70" s="142"/>
      <c r="LUW70" s="143"/>
      <c r="LUX70" s="144"/>
      <c r="LUY70" s="144"/>
      <c r="LUZ70" s="143"/>
      <c r="LVA70" s="145"/>
      <c r="LVB70" s="143"/>
      <c r="LVC70" s="145"/>
      <c r="LVD70" s="146"/>
      <c r="LVE70" s="147"/>
      <c r="LVF70"/>
      <c r="LVG70" s="148"/>
      <c r="LVH70"/>
      <c r="LVI70" s="140"/>
      <c r="LVJ70" s="149"/>
      <c r="LVK70"/>
      <c r="LVL70" s="142"/>
      <c r="LVM70" s="143"/>
      <c r="LVN70" s="144"/>
      <c r="LVO70" s="144"/>
      <c r="LVP70" s="143"/>
      <c r="LVQ70" s="145"/>
      <c r="LVR70" s="143"/>
      <c r="LVS70" s="145"/>
      <c r="LVT70" s="146"/>
      <c r="LVU70" s="147"/>
      <c r="LVV70"/>
      <c r="LVW70" s="148"/>
      <c r="LVX70"/>
      <c r="LVY70" s="140"/>
      <c r="LVZ70" s="149"/>
      <c r="LWA70"/>
      <c r="LWB70" s="142"/>
      <c r="LWC70" s="143"/>
      <c r="LWD70" s="144"/>
      <c r="LWE70" s="144"/>
      <c r="LWF70" s="143"/>
      <c r="LWG70" s="145"/>
      <c r="LWH70" s="143"/>
      <c r="LWI70" s="145"/>
      <c r="LWJ70" s="146"/>
      <c r="LWK70" s="147"/>
      <c r="LWL70"/>
      <c r="LWM70" s="148"/>
      <c r="LWN70"/>
      <c r="LWO70" s="140"/>
      <c r="LWP70" s="149"/>
      <c r="LWQ70"/>
      <c r="LWR70" s="142"/>
      <c r="LWS70" s="143"/>
      <c r="LWT70" s="144"/>
      <c r="LWU70" s="144"/>
      <c r="LWV70" s="143"/>
      <c r="LWW70" s="145"/>
      <c r="LWX70" s="143"/>
      <c r="LWY70" s="145"/>
      <c r="LWZ70" s="146"/>
      <c r="LXA70" s="147"/>
      <c r="LXB70"/>
      <c r="LXC70" s="148"/>
      <c r="LXD70"/>
      <c r="LXE70" s="140"/>
      <c r="LXF70" s="149"/>
      <c r="LXG70"/>
      <c r="LXH70" s="142"/>
      <c r="LXI70" s="143"/>
      <c r="LXJ70" s="144"/>
      <c r="LXK70" s="144"/>
      <c r="LXL70" s="143"/>
      <c r="LXM70" s="145"/>
      <c r="LXN70" s="143"/>
      <c r="LXO70" s="145"/>
      <c r="LXP70" s="146"/>
      <c r="LXQ70" s="147"/>
      <c r="LXR70"/>
      <c r="LXS70" s="148"/>
      <c r="LXT70"/>
      <c r="LXU70" s="140"/>
      <c r="LXV70" s="149"/>
      <c r="LXW70"/>
      <c r="LXX70" s="142"/>
      <c r="LXY70" s="143"/>
      <c r="LXZ70" s="144"/>
      <c r="LYA70" s="144"/>
      <c r="LYB70" s="143"/>
      <c r="LYC70" s="145"/>
      <c r="LYD70" s="143"/>
      <c r="LYE70" s="145"/>
      <c r="LYF70" s="146"/>
      <c r="LYG70" s="147"/>
      <c r="LYH70"/>
      <c r="LYI70" s="148"/>
      <c r="LYJ70"/>
      <c r="LYK70" s="140"/>
      <c r="LYL70" s="149"/>
      <c r="LYM70"/>
      <c r="LYN70" s="142"/>
      <c r="LYO70" s="143"/>
      <c r="LYP70" s="144"/>
      <c r="LYQ70" s="144"/>
      <c r="LYR70" s="143"/>
      <c r="LYS70" s="145"/>
      <c r="LYT70" s="143"/>
      <c r="LYU70" s="145"/>
      <c r="LYV70" s="146"/>
      <c r="LYW70" s="147"/>
      <c r="LYX70"/>
      <c r="LYY70" s="148"/>
      <c r="LYZ70"/>
      <c r="LZA70" s="140"/>
      <c r="LZB70" s="149"/>
      <c r="LZC70"/>
      <c r="LZD70" s="142"/>
      <c r="LZE70" s="143"/>
      <c r="LZF70" s="144"/>
      <c r="LZG70" s="144"/>
      <c r="LZH70" s="143"/>
      <c r="LZI70" s="145"/>
      <c r="LZJ70" s="143"/>
      <c r="LZK70" s="145"/>
      <c r="LZL70" s="146"/>
      <c r="LZM70" s="147"/>
      <c r="LZN70"/>
      <c r="LZO70" s="148"/>
      <c r="LZP70"/>
      <c r="LZQ70" s="140"/>
      <c r="LZR70" s="149"/>
      <c r="LZS70"/>
      <c r="LZT70" s="142"/>
      <c r="LZU70" s="143"/>
      <c r="LZV70" s="144"/>
      <c r="LZW70" s="144"/>
      <c r="LZX70" s="143"/>
      <c r="LZY70" s="145"/>
      <c r="LZZ70" s="143"/>
      <c r="MAA70" s="145"/>
      <c r="MAB70" s="146"/>
      <c r="MAC70" s="147"/>
      <c r="MAD70"/>
      <c r="MAE70" s="148"/>
      <c r="MAF70"/>
      <c r="MAG70" s="140"/>
      <c r="MAH70" s="149"/>
      <c r="MAI70"/>
      <c r="MAJ70" s="142"/>
      <c r="MAK70" s="143"/>
      <c r="MAL70" s="144"/>
      <c r="MAM70" s="144"/>
      <c r="MAN70" s="143"/>
      <c r="MAO70" s="145"/>
      <c r="MAP70" s="143"/>
      <c r="MAQ70" s="145"/>
      <c r="MAR70" s="146"/>
      <c r="MAS70" s="147"/>
      <c r="MAT70"/>
      <c r="MAU70" s="148"/>
      <c r="MAV70"/>
      <c r="MAW70" s="140"/>
      <c r="MAX70" s="149"/>
      <c r="MAY70"/>
      <c r="MAZ70" s="142"/>
      <c r="MBA70" s="143"/>
      <c r="MBB70" s="144"/>
      <c r="MBC70" s="144"/>
      <c r="MBD70" s="143"/>
      <c r="MBE70" s="145"/>
      <c r="MBF70" s="143"/>
      <c r="MBG70" s="145"/>
      <c r="MBH70" s="146"/>
      <c r="MBI70" s="147"/>
      <c r="MBJ70"/>
      <c r="MBK70" s="148"/>
      <c r="MBL70"/>
      <c r="MBM70" s="140"/>
      <c r="MBN70" s="149"/>
      <c r="MBO70"/>
      <c r="MBP70" s="142"/>
      <c r="MBQ70" s="143"/>
      <c r="MBR70" s="144"/>
      <c r="MBS70" s="144"/>
      <c r="MBT70" s="143"/>
      <c r="MBU70" s="145"/>
      <c r="MBV70" s="143"/>
      <c r="MBW70" s="145"/>
      <c r="MBX70" s="146"/>
      <c r="MBY70" s="147"/>
      <c r="MBZ70"/>
      <c r="MCA70" s="148"/>
      <c r="MCB70"/>
      <c r="MCC70" s="140"/>
      <c r="MCD70" s="149"/>
      <c r="MCE70"/>
      <c r="MCF70" s="142"/>
      <c r="MCG70" s="143"/>
      <c r="MCH70" s="144"/>
      <c r="MCI70" s="144"/>
      <c r="MCJ70" s="143"/>
      <c r="MCK70" s="145"/>
      <c r="MCL70" s="143"/>
      <c r="MCM70" s="145"/>
      <c r="MCN70" s="146"/>
      <c r="MCO70" s="147"/>
      <c r="MCP70"/>
      <c r="MCQ70" s="148"/>
      <c r="MCR70"/>
      <c r="MCS70" s="140"/>
      <c r="MCT70" s="149"/>
      <c r="MCU70"/>
      <c r="MCV70" s="142"/>
      <c r="MCW70" s="143"/>
      <c r="MCX70" s="144"/>
      <c r="MCY70" s="144"/>
      <c r="MCZ70" s="143"/>
      <c r="MDA70" s="145"/>
      <c r="MDB70" s="143"/>
      <c r="MDC70" s="145"/>
      <c r="MDD70" s="146"/>
      <c r="MDE70" s="147"/>
      <c r="MDF70"/>
      <c r="MDG70" s="148"/>
      <c r="MDH70"/>
      <c r="MDI70" s="140"/>
      <c r="MDJ70" s="149"/>
      <c r="MDK70"/>
      <c r="MDL70" s="142"/>
      <c r="MDM70" s="143"/>
      <c r="MDN70" s="144"/>
      <c r="MDO70" s="144"/>
      <c r="MDP70" s="143"/>
      <c r="MDQ70" s="145"/>
      <c r="MDR70" s="143"/>
      <c r="MDS70" s="145"/>
      <c r="MDT70" s="146"/>
      <c r="MDU70" s="147"/>
      <c r="MDV70"/>
      <c r="MDW70" s="148"/>
      <c r="MDX70"/>
      <c r="MDY70" s="140"/>
      <c r="MDZ70" s="149"/>
      <c r="MEA70"/>
      <c r="MEB70" s="142"/>
      <c r="MEC70" s="143"/>
      <c r="MED70" s="144"/>
      <c r="MEE70" s="144"/>
      <c r="MEF70" s="143"/>
      <c r="MEG70" s="145"/>
      <c r="MEH70" s="143"/>
      <c r="MEI70" s="145"/>
      <c r="MEJ70" s="146"/>
      <c r="MEK70" s="147"/>
      <c r="MEL70"/>
      <c r="MEM70" s="148"/>
      <c r="MEN70"/>
      <c r="MEO70" s="140"/>
      <c r="MEP70" s="149"/>
      <c r="MEQ70"/>
      <c r="MER70" s="142"/>
      <c r="MES70" s="143"/>
      <c r="MET70" s="144"/>
      <c r="MEU70" s="144"/>
      <c r="MEV70" s="143"/>
      <c r="MEW70" s="145"/>
      <c r="MEX70" s="143"/>
      <c r="MEY70" s="145"/>
      <c r="MEZ70" s="146"/>
      <c r="MFA70" s="147"/>
      <c r="MFB70"/>
      <c r="MFC70" s="148"/>
      <c r="MFD70"/>
      <c r="MFE70" s="140"/>
      <c r="MFF70" s="149"/>
      <c r="MFG70"/>
      <c r="MFH70" s="142"/>
      <c r="MFI70" s="143"/>
      <c r="MFJ70" s="144"/>
      <c r="MFK70" s="144"/>
      <c r="MFL70" s="143"/>
      <c r="MFM70" s="145"/>
      <c r="MFN70" s="143"/>
      <c r="MFO70" s="145"/>
      <c r="MFP70" s="146"/>
      <c r="MFQ70" s="147"/>
      <c r="MFR70"/>
      <c r="MFS70" s="148"/>
      <c r="MFT70"/>
      <c r="MFU70" s="140"/>
      <c r="MFV70" s="149"/>
      <c r="MFW70"/>
      <c r="MFX70" s="142"/>
      <c r="MFY70" s="143"/>
      <c r="MFZ70" s="144"/>
      <c r="MGA70" s="144"/>
      <c r="MGB70" s="143"/>
      <c r="MGC70" s="145"/>
      <c r="MGD70" s="143"/>
      <c r="MGE70" s="145"/>
      <c r="MGF70" s="146"/>
      <c r="MGG70" s="147"/>
      <c r="MGH70"/>
      <c r="MGI70" s="148"/>
      <c r="MGJ70"/>
      <c r="MGK70" s="140"/>
      <c r="MGL70" s="149"/>
      <c r="MGM70"/>
      <c r="MGN70" s="142"/>
      <c r="MGO70" s="143"/>
      <c r="MGP70" s="144"/>
      <c r="MGQ70" s="144"/>
      <c r="MGR70" s="143"/>
      <c r="MGS70" s="145"/>
      <c r="MGT70" s="143"/>
      <c r="MGU70" s="145"/>
      <c r="MGV70" s="146"/>
      <c r="MGW70" s="147"/>
      <c r="MGX70"/>
      <c r="MGY70" s="148"/>
      <c r="MGZ70"/>
      <c r="MHA70" s="140"/>
      <c r="MHB70" s="149"/>
      <c r="MHC70"/>
      <c r="MHD70" s="142"/>
      <c r="MHE70" s="143"/>
      <c r="MHF70" s="144"/>
      <c r="MHG70" s="144"/>
      <c r="MHH70" s="143"/>
      <c r="MHI70" s="145"/>
      <c r="MHJ70" s="143"/>
      <c r="MHK70" s="145"/>
      <c r="MHL70" s="146"/>
      <c r="MHM70" s="147"/>
      <c r="MHN70"/>
      <c r="MHO70" s="148"/>
      <c r="MHP70"/>
      <c r="MHQ70" s="140"/>
      <c r="MHR70" s="149"/>
      <c r="MHS70"/>
      <c r="MHT70" s="142"/>
      <c r="MHU70" s="143"/>
      <c r="MHV70" s="144"/>
      <c r="MHW70" s="144"/>
      <c r="MHX70" s="143"/>
      <c r="MHY70" s="145"/>
      <c r="MHZ70" s="143"/>
      <c r="MIA70" s="145"/>
      <c r="MIB70" s="146"/>
      <c r="MIC70" s="147"/>
      <c r="MID70"/>
      <c r="MIE70" s="148"/>
      <c r="MIF70"/>
      <c r="MIG70" s="140"/>
      <c r="MIH70" s="149"/>
      <c r="MII70"/>
      <c r="MIJ70" s="142"/>
      <c r="MIK70" s="143"/>
      <c r="MIL70" s="144"/>
      <c r="MIM70" s="144"/>
      <c r="MIN70" s="143"/>
      <c r="MIO70" s="145"/>
      <c r="MIP70" s="143"/>
      <c r="MIQ70" s="145"/>
      <c r="MIR70" s="146"/>
      <c r="MIS70" s="147"/>
      <c r="MIT70"/>
      <c r="MIU70" s="148"/>
      <c r="MIV70"/>
      <c r="MIW70" s="140"/>
      <c r="MIX70" s="149"/>
      <c r="MIY70"/>
      <c r="MIZ70" s="142"/>
      <c r="MJA70" s="143"/>
      <c r="MJB70" s="144"/>
      <c r="MJC70" s="144"/>
      <c r="MJD70" s="143"/>
      <c r="MJE70" s="145"/>
      <c r="MJF70" s="143"/>
      <c r="MJG70" s="145"/>
      <c r="MJH70" s="146"/>
      <c r="MJI70" s="147"/>
      <c r="MJJ70"/>
      <c r="MJK70" s="148"/>
      <c r="MJL70"/>
      <c r="MJM70" s="140"/>
      <c r="MJN70" s="149"/>
      <c r="MJO70"/>
      <c r="MJP70" s="142"/>
      <c r="MJQ70" s="143"/>
      <c r="MJR70" s="144"/>
      <c r="MJS70" s="144"/>
      <c r="MJT70" s="143"/>
      <c r="MJU70" s="145"/>
      <c r="MJV70" s="143"/>
      <c r="MJW70" s="145"/>
      <c r="MJX70" s="146"/>
      <c r="MJY70" s="147"/>
      <c r="MJZ70"/>
      <c r="MKA70" s="148"/>
      <c r="MKB70"/>
      <c r="MKC70" s="140"/>
      <c r="MKD70" s="149"/>
      <c r="MKE70"/>
      <c r="MKF70" s="142"/>
      <c r="MKG70" s="143"/>
      <c r="MKH70" s="144"/>
      <c r="MKI70" s="144"/>
      <c r="MKJ70" s="143"/>
      <c r="MKK70" s="145"/>
      <c r="MKL70" s="143"/>
      <c r="MKM70" s="145"/>
      <c r="MKN70" s="146"/>
      <c r="MKO70" s="147"/>
      <c r="MKP70"/>
      <c r="MKQ70" s="148"/>
      <c r="MKR70"/>
      <c r="MKS70" s="140"/>
      <c r="MKT70" s="149"/>
      <c r="MKU70"/>
      <c r="MKV70" s="142"/>
      <c r="MKW70" s="143"/>
      <c r="MKX70" s="144"/>
      <c r="MKY70" s="144"/>
      <c r="MKZ70" s="143"/>
      <c r="MLA70" s="145"/>
      <c r="MLB70" s="143"/>
      <c r="MLC70" s="145"/>
      <c r="MLD70" s="146"/>
      <c r="MLE70" s="147"/>
      <c r="MLF70"/>
      <c r="MLG70" s="148"/>
      <c r="MLH70"/>
      <c r="MLI70" s="140"/>
      <c r="MLJ70" s="149"/>
      <c r="MLK70"/>
      <c r="MLL70" s="142"/>
      <c r="MLM70" s="143"/>
      <c r="MLN70" s="144"/>
      <c r="MLO70" s="144"/>
      <c r="MLP70" s="143"/>
      <c r="MLQ70" s="145"/>
      <c r="MLR70" s="143"/>
      <c r="MLS70" s="145"/>
      <c r="MLT70" s="146"/>
      <c r="MLU70" s="147"/>
      <c r="MLV70"/>
      <c r="MLW70" s="148"/>
      <c r="MLX70"/>
      <c r="MLY70" s="140"/>
      <c r="MLZ70" s="149"/>
      <c r="MMA70"/>
      <c r="MMB70" s="142"/>
      <c r="MMC70" s="143"/>
      <c r="MMD70" s="144"/>
      <c r="MME70" s="144"/>
      <c r="MMF70" s="143"/>
      <c r="MMG70" s="145"/>
      <c r="MMH70" s="143"/>
      <c r="MMI70" s="145"/>
      <c r="MMJ70" s="146"/>
      <c r="MMK70" s="147"/>
      <c r="MML70"/>
      <c r="MMM70" s="148"/>
      <c r="MMN70"/>
      <c r="MMO70" s="140"/>
      <c r="MMP70" s="149"/>
      <c r="MMQ70"/>
      <c r="MMR70" s="142"/>
      <c r="MMS70" s="143"/>
      <c r="MMT70" s="144"/>
      <c r="MMU70" s="144"/>
      <c r="MMV70" s="143"/>
      <c r="MMW70" s="145"/>
      <c r="MMX70" s="143"/>
      <c r="MMY70" s="145"/>
      <c r="MMZ70" s="146"/>
      <c r="MNA70" s="147"/>
      <c r="MNB70"/>
      <c r="MNC70" s="148"/>
      <c r="MND70"/>
      <c r="MNE70" s="140"/>
      <c r="MNF70" s="149"/>
      <c r="MNG70"/>
      <c r="MNH70" s="142"/>
      <c r="MNI70" s="143"/>
      <c r="MNJ70" s="144"/>
      <c r="MNK70" s="144"/>
      <c r="MNL70" s="143"/>
      <c r="MNM70" s="145"/>
      <c r="MNN70" s="143"/>
      <c r="MNO70" s="145"/>
      <c r="MNP70" s="146"/>
      <c r="MNQ70" s="147"/>
      <c r="MNR70"/>
      <c r="MNS70" s="148"/>
      <c r="MNT70"/>
      <c r="MNU70" s="140"/>
      <c r="MNV70" s="149"/>
      <c r="MNW70"/>
      <c r="MNX70" s="142"/>
      <c r="MNY70" s="143"/>
      <c r="MNZ70" s="144"/>
      <c r="MOA70" s="144"/>
      <c r="MOB70" s="143"/>
      <c r="MOC70" s="145"/>
      <c r="MOD70" s="143"/>
      <c r="MOE70" s="145"/>
      <c r="MOF70" s="146"/>
      <c r="MOG70" s="147"/>
      <c r="MOH70"/>
      <c r="MOI70" s="148"/>
      <c r="MOJ70"/>
      <c r="MOK70" s="140"/>
      <c r="MOL70" s="149"/>
      <c r="MOM70"/>
      <c r="MON70" s="142"/>
      <c r="MOO70" s="143"/>
      <c r="MOP70" s="144"/>
      <c r="MOQ70" s="144"/>
      <c r="MOR70" s="143"/>
      <c r="MOS70" s="145"/>
      <c r="MOT70" s="143"/>
      <c r="MOU70" s="145"/>
      <c r="MOV70" s="146"/>
      <c r="MOW70" s="147"/>
      <c r="MOX70"/>
      <c r="MOY70" s="148"/>
      <c r="MOZ70"/>
      <c r="MPA70" s="140"/>
      <c r="MPB70" s="149"/>
      <c r="MPC70"/>
      <c r="MPD70" s="142"/>
      <c r="MPE70" s="143"/>
      <c r="MPF70" s="144"/>
      <c r="MPG70" s="144"/>
      <c r="MPH70" s="143"/>
      <c r="MPI70" s="145"/>
      <c r="MPJ70" s="143"/>
      <c r="MPK70" s="145"/>
      <c r="MPL70" s="146"/>
      <c r="MPM70" s="147"/>
      <c r="MPN70"/>
      <c r="MPO70" s="148"/>
      <c r="MPP70"/>
      <c r="MPQ70" s="140"/>
      <c r="MPR70" s="149"/>
      <c r="MPS70"/>
      <c r="MPT70" s="142"/>
      <c r="MPU70" s="143"/>
      <c r="MPV70" s="144"/>
      <c r="MPW70" s="144"/>
      <c r="MPX70" s="143"/>
      <c r="MPY70" s="145"/>
      <c r="MPZ70" s="143"/>
      <c r="MQA70" s="145"/>
      <c r="MQB70" s="146"/>
      <c r="MQC70" s="147"/>
      <c r="MQD70"/>
      <c r="MQE70" s="148"/>
      <c r="MQF70"/>
      <c r="MQG70" s="140"/>
      <c r="MQH70" s="149"/>
      <c r="MQI70"/>
      <c r="MQJ70" s="142"/>
      <c r="MQK70" s="143"/>
      <c r="MQL70" s="144"/>
      <c r="MQM70" s="144"/>
      <c r="MQN70" s="143"/>
      <c r="MQO70" s="145"/>
      <c r="MQP70" s="143"/>
      <c r="MQQ70" s="145"/>
      <c r="MQR70" s="146"/>
      <c r="MQS70" s="147"/>
      <c r="MQT70"/>
      <c r="MQU70" s="148"/>
      <c r="MQV70"/>
      <c r="MQW70" s="140"/>
      <c r="MQX70" s="149"/>
      <c r="MQY70"/>
      <c r="MQZ70" s="142"/>
      <c r="MRA70" s="143"/>
      <c r="MRB70" s="144"/>
      <c r="MRC70" s="144"/>
      <c r="MRD70" s="143"/>
      <c r="MRE70" s="145"/>
      <c r="MRF70" s="143"/>
      <c r="MRG70" s="145"/>
      <c r="MRH70" s="146"/>
      <c r="MRI70" s="147"/>
      <c r="MRJ70"/>
      <c r="MRK70" s="148"/>
      <c r="MRL70"/>
      <c r="MRM70" s="140"/>
      <c r="MRN70" s="149"/>
      <c r="MRO70"/>
      <c r="MRP70" s="142"/>
      <c r="MRQ70" s="143"/>
      <c r="MRR70" s="144"/>
      <c r="MRS70" s="144"/>
      <c r="MRT70" s="143"/>
      <c r="MRU70" s="145"/>
      <c r="MRV70" s="143"/>
      <c r="MRW70" s="145"/>
      <c r="MRX70" s="146"/>
      <c r="MRY70" s="147"/>
      <c r="MRZ70"/>
      <c r="MSA70" s="148"/>
      <c r="MSB70"/>
      <c r="MSC70" s="140"/>
      <c r="MSD70" s="149"/>
      <c r="MSE70"/>
      <c r="MSF70" s="142"/>
      <c r="MSG70" s="143"/>
      <c r="MSH70" s="144"/>
      <c r="MSI70" s="144"/>
      <c r="MSJ70" s="143"/>
      <c r="MSK70" s="145"/>
      <c r="MSL70" s="143"/>
      <c r="MSM70" s="145"/>
      <c r="MSN70" s="146"/>
      <c r="MSO70" s="147"/>
      <c r="MSP70"/>
      <c r="MSQ70" s="148"/>
      <c r="MSR70"/>
      <c r="MSS70" s="140"/>
      <c r="MST70" s="149"/>
      <c r="MSU70"/>
      <c r="MSV70" s="142"/>
      <c r="MSW70" s="143"/>
      <c r="MSX70" s="144"/>
      <c r="MSY70" s="144"/>
      <c r="MSZ70" s="143"/>
      <c r="MTA70" s="145"/>
      <c r="MTB70" s="143"/>
      <c r="MTC70" s="145"/>
      <c r="MTD70" s="146"/>
      <c r="MTE70" s="147"/>
      <c r="MTF70"/>
      <c r="MTG70" s="148"/>
      <c r="MTH70"/>
      <c r="MTI70" s="140"/>
      <c r="MTJ70" s="149"/>
      <c r="MTK70"/>
      <c r="MTL70" s="142"/>
      <c r="MTM70" s="143"/>
      <c r="MTN70" s="144"/>
      <c r="MTO70" s="144"/>
      <c r="MTP70" s="143"/>
      <c r="MTQ70" s="145"/>
      <c r="MTR70" s="143"/>
      <c r="MTS70" s="145"/>
      <c r="MTT70" s="146"/>
      <c r="MTU70" s="147"/>
      <c r="MTV70"/>
      <c r="MTW70" s="148"/>
      <c r="MTX70"/>
      <c r="MTY70" s="140"/>
      <c r="MTZ70" s="149"/>
      <c r="MUA70"/>
      <c r="MUB70" s="142"/>
      <c r="MUC70" s="143"/>
      <c r="MUD70" s="144"/>
      <c r="MUE70" s="144"/>
      <c r="MUF70" s="143"/>
      <c r="MUG70" s="145"/>
      <c r="MUH70" s="143"/>
      <c r="MUI70" s="145"/>
      <c r="MUJ70" s="146"/>
      <c r="MUK70" s="147"/>
      <c r="MUL70"/>
      <c r="MUM70" s="148"/>
      <c r="MUN70"/>
      <c r="MUO70" s="140"/>
      <c r="MUP70" s="149"/>
      <c r="MUQ70"/>
      <c r="MUR70" s="142"/>
      <c r="MUS70" s="143"/>
      <c r="MUT70" s="144"/>
      <c r="MUU70" s="144"/>
      <c r="MUV70" s="143"/>
      <c r="MUW70" s="145"/>
      <c r="MUX70" s="143"/>
      <c r="MUY70" s="145"/>
      <c r="MUZ70" s="146"/>
      <c r="MVA70" s="147"/>
      <c r="MVB70"/>
      <c r="MVC70" s="148"/>
      <c r="MVD70"/>
      <c r="MVE70" s="140"/>
      <c r="MVF70" s="149"/>
      <c r="MVG70"/>
      <c r="MVH70" s="142"/>
      <c r="MVI70" s="143"/>
      <c r="MVJ70" s="144"/>
      <c r="MVK70" s="144"/>
      <c r="MVL70" s="143"/>
      <c r="MVM70" s="145"/>
      <c r="MVN70" s="143"/>
      <c r="MVO70" s="145"/>
      <c r="MVP70" s="146"/>
      <c r="MVQ70" s="147"/>
      <c r="MVR70"/>
      <c r="MVS70" s="148"/>
      <c r="MVT70"/>
      <c r="MVU70" s="140"/>
      <c r="MVV70" s="149"/>
      <c r="MVW70"/>
      <c r="MVX70" s="142"/>
      <c r="MVY70" s="143"/>
      <c r="MVZ70" s="144"/>
      <c r="MWA70" s="144"/>
      <c r="MWB70" s="143"/>
      <c r="MWC70" s="145"/>
      <c r="MWD70" s="143"/>
      <c r="MWE70" s="145"/>
      <c r="MWF70" s="146"/>
      <c r="MWG70" s="147"/>
      <c r="MWH70"/>
      <c r="MWI70" s="148"/>
      <c r="MWJ70"/>
      <c r="MWK70" s="140"/>
      <c r="MWL70" s="149"/>
      <c r="MWM70"/>
      <c r="MWN70" s="142"/>
      <c r="MWO70" s="143"/>
      <c r="MWP70" s="144"/>
      <c r="MWQ70" s="144"/>
      <c r="MWR70" s="143"/>
      <c r="MWS70" s="145"/>
      <c r="MWT70" s="143"/>
      <c r="MWU70" s="145"/>
      <c r="MWV70" s="146"/>
      <c r="MWW70" s="147"/>
      <c r="MWX70"/>
      <c r="MWY70" s="148"/>
      <c r="MWZ70"/>
      <c r="MXA70" s="140"/>
      <c r="MXB70" s="149"/>
      <c r="MXC70"/>
      <c r="MXD70" s="142"/>
      <c r="MXE70" s="143"/>
      <c r="MXF70" s="144"/>
      <c r="MXG70" s="144"/>
      <c r="MXH70" s="143"/>
      <c r="MXI70" s="145"/>
      <c r="MXJ70" s="143"/>
      <c r="MXK70" s="145"/>
      <c r="MXL70" s="146"/>
      <c r="MXM70" s="147"/>
      <c r="MXN70"/>
      <c r="MXO70" s="148"/>
      <c r="MXP70"/>
      <c r="MXQ70" s="140"/>
      <c r="MXR70" s="149"/>
      <c r="MXS70"/>
      <c r="MXT70" s="142"/>
      <c r="MXU70" s="143"/>
      <c r="MXV70" s="144"/>
      <c r="MXW70" s="144"/>
      <c r="MXX70" s="143"/>
      <c r="MXY70" s="145"/>
      <c r="MXZ70" s="143"/>
      <c r="MYA70" s="145"/>
      <c r="MYB70" s="146"/>
      <c r="MYC70" s="147"/>
      <c r="MYD70"/>
      <c r="MYE70" s="148"/>
      <c r="MYF70"/>
      <c r="MYG70" s="140"/>
      <c r="MYH70" s="149"/>
      <c r="MYI70"/>
      <c r="MYJ70" s="142"/>
      <c r="MYK70" s="143"/>
      <c r="MYL70" s="144"/>
      <c r="MYM70" s="144"/>
      <c r="MYN70" s="143"/>
      <c r="MYO70" s="145"/>
      <c r="MYP70" s="143"/>
      <c r="MYQ70" s="145"/>
      <c r="MYR70" s="146"/>
      <c r="MYS70" s="147"/>
      <c r="MYT70"/>
      <c r="MYU70" s="148"/>
      <c r="MYV70"/>
      <c r="MYW70" s="140"/>
      <c r="MYX70" s="149"/>
      <c r="MYY70"/>
      <c r="MYZ70" s="142"/>
      <c r="MZA70" s="143"/>
      <c r="MZB70" s="144"/>
      <c r="MZC70" s="144"/>
      <c r="MZD70" s="143"/>
      <c r="MZE70" s="145"/>
      <c r="MZF70" s="143"/>
      <c r="MZG70" s="145"/>
      <c r="MZH70" s="146"/>
      <c r="MZI70" s="147"/>
      <c r="MZJ70"/>
      <c r="MZK70" s="148"/>
      <c r="MZL70"/>
      <c r="MZM70" s="140"/>
      <c r="MZN70" s="149"/>
      <c r="MZO70"/>
      <c r="MZP70" s="142"/>
      <c r="MZQ70" s="143"/>
      <c r="MZR70" s="144"/>
      <c r="MZS70" s="144"/>
      <c r="MZT70" s="143"/>
      <c r="MZU70" s="145"/>
      <c r="MZV70" s="143"/>
      <c r="MZW70" s="145"/>
      <c r="MZX70" s="146"/>
      <c r="MZY70" s="147"/>
      <c r="MZZ70"/>
      <c r="NAA70" s="148"/>
      <c r="NAB70"/>
      <c r="NAC70" s="140"/>
      <c r="NAD70" s="149"/>
      <c r="NAE70"/>
      <c r="NAF70" s="142"/>
      <c r="NAG70" s="143"/>
      <c r="NAH70" s="144"/>
      <c r="NAI70" s="144"/>
      <c r="NAJ70" s="143"/>
      <c r="NAK70" s="145"/>
      <c r="NAL70" s="143"/>
      <c r="NAM70" s="145"/>
      <c r="NAN70" s="146"/>
      <c r="NAO70" s="147"/>
      <c r="NAP70"/>
      <c r="NAQ70" s="148"/>
      <c r="NAR70"/>
      <c r="NAS70" s="140"/>
      <c r="NAT70" s="149"/>
      <c r="NAU70"/>
      <c r="NAV70" s="142"/>
      <c r="NAW70" s="143"/>
      <c r="NAX70" s="144"/>
      <c r="NAY70" s="144"/>
      <c r="NAZ70" s="143"/>
      <c r="NBA70" s="145"/>
      <c r="NBB70" s="143"/>
      <c r="NBC70" s="145"/>
      <c r="NBD70" s="146"/>
      <c r="NBE70" s="147"/>
      <c r="NBF70"/>
      <c r="NBG70" s="148"/>
      <c r="NBH70"/>
      <c r="NBI70" s="140"/>
      <c r="NBJ70" s="149"/>
      <c r="NBK70"/>
      <c r="NBL70" s="142"/>
      <c r="NBM70" s="143"/>
      <c r="NBN70" s="144"/>
      <c r="NBO70" s="144"/>
      <c r="NBP70" s="143"/>
      <c r="NBQ70" s="145"/>
      <c r="NBR70" s="143"/>
      <c r="NBS70" s="145"/>
      <c r="NBT70" s="146"/>
      <c r="NBU70" s="147"/>
      <c r="NBV70"/>
      <c r="NBW70" s="148"/>
      <c r="NBX70"/>
      <c r="NBY70" s="140"/>
      <c r="NBZ70" s="149"/>
      <c r="NCA70"/>
      <c r="NCB70" s="142"/>
      <c r="NCC70" s="143"/>
      <c r="NCD70" s="144"/>
      <c r="NCE70" s="144"/>
      <c r="NCF70" s="143"/>
      <c r="NCG70" s="145"/>
      <c r="NCH70" s="143"/>
      <c r="NCI70" s="145"/>
      <c r="NCJ70" s="146"/>
      <c r="NCK70" s="147"/>
      <c r="NCL70"/>
      <c r="NCM70" s="148"/>
      <c r="NCN70"/>
      <c r="NCO70" s="140"/>
      <c r="NCP70" s="149"/>
      <c r="NCQ70"/>
      <c r="NCR70" s="142"/>
      <c r="NCS70" s="143"/>
      <c r="NCT70" s="144"/>
      <c r="NCU70" s="144"/>
      <c r="NCV70" s="143"/>
      <c r="NCW70" s="145"/>
      <c r="NCX70" s="143"/>
      <c r="NCY70" s="145"/>
      <c r="NCZ70" s="146"/>
      <c r="NDA70" s="147"/>
      <c r="NDB70"/>
      <c r="NDC70" s="148"/>
      <c r="NDD70"/>
      <c r="NDE70" s="140"/>
      <c r="NDF70" s="149"/>
      <c r="NDG70"/>
      <c r="NDH70" s="142"/>
      <c r="NDI70" s="143"/>
      <c r="NDJ70" s="144"/>
      <c r="NDK70" s="144"/>
      <c r="NDL70" s="143"/>
      <c r="NDM70" s="145"/>
      <c r="NDN70" s="143"/>
      <c r="NDO70" s="145"/>
      <c r="NDP70" s="146"/>
      <c r="NDQ70" s="147"/>
      <c r="NDR70"/>
      <c r="NDS70" s="148"/>
      <c r="NDT70"/>
      <c r="NDU70" s="140"/>
      <c r="NDV70" s="149"/>
      <c r="NDW70"/>
      <c r="NDX70" s="142"/>
      <c r="NDY70" s="143"/>
      <c r="NDZ70" s="144"/>
      <c r="NEA70" s="144"/>
      <c r="NEB70" s="143"/>
      <c r="NEC70" s="145"/>
      <c r="NED70" s="143"/>
      <c r="NEE70" s="145"/>
      <c r="NEF70" s="146"/>
      <c r="NEG70" s="147"/>
      <c r="NEH70"/>
      <c r="NEI70" s="148"/>
      <c r="NEJ70"/>
      <c r="NEK70" s="140"/>
      <c r="NEL70" s="149"/>
      <c r="NEM70"/>
      <c r="NEN70" s="142"/>
      <c r="NEO70" s="143"/>
      <c r="NEP70" s="144"/>
      <c r="NEQ70" s="144"/>
      <c r="NER70" s="143"/>
      <c r="NES70" s="145"/>
      <c r="NET70" s="143"/>
      <c r="NEU70" s="145"/>
      <c r="NEV70" s="146"/>
      <c r="NEW70" s="147"/>
      <c r="NEX70"/>
      <c r="NEY70" s="148"/>
      <c r="NEZ70"/>
      <c r="NFA70" s="140"/>
      <c r="NFB70" s="149"/>
      <c r="NFC70"/>
      <c r="NFD70" s="142"/>
      <c r="NFE70" s="143"/>
      <c r="NFF70" s="144"/>
      <c r="NFG70" s="144"/>
      <c r="NFH70" s="143"/>
      <c r="NFI70" s="145"/>
      <c r="NFJ70" s="143"/>
      <c r="NFK70" s="145"/>
      <c r="NFL70" s="146"/>
      <c r="NFM70" s="147"/>
      <c r="NFN70"/>
      <c r="NFO70" s="148"/>
      <c r="NFP70"/>
      <c r="NFQ70" s="140"/>
      <c r="NFR70" s="149"/>
      <c r="NFS70"/>
      <c r="NFT70" s="142"/>
      <c r="NFU70" s="143"/>
      <c r="NFV70" s="144"/>
      <c r="NFW70" s="144"/>
      <c r="NFX70" s="143"/>
      <c r="NFY70" s="145"/>
      <c r="NFZ70" s="143"/>
      <c r="NGA70" s="145"/>
      <c r="NGB70" s="146"/>
      <c r="NGC70" s="147"/>
      <c r="NGD70"/>
      <c r="NGE70" s="148"/>
      <c r="NGF70"/>
      <c r="NGG70" s="140"/>
      <c r="NGH70" s="149"/>
      <c r="NGI70"/>
      <c r="NGJ70" s="142"/>
      <c r="NGK70" s="143"/>
      <c r="NGL70" s="144"/>
      <c r="NGM70" s="144"/>
      <c r="NGN70" s="143"/>
      <c r="NGO70" s="145"/>
      <c r="NGP70" s="143"/>
      <c r="NGQ70" s="145"/>
      <c r="NGR70" s="146"/>
      <c r="NGS70" s="147"/>
      <c r="NGT70"/>
      <c r="NGU70" s="148"/>
      <c r="NGV70"/>
      <c r="NGW70" s="140"/>
      <c r="NGX70" s="149"/>
      <c r="NGY70"/>
      <c r="NGZ70" s="142"/>
      <c r="NHA70" s="143"/>
      <c r="NHB70" s="144"/>
      <c r="NHC70" s="144"/>
      <c r="NHD70" s="143"/>
      <c r="NHE70" s="145"/>
      <c r="NHF70" s="143"/>
      <c r="NHG70" s="145"/>
      <c r="NHH70" s="146"/>
      <c r="NHI70" s="147"/>
      <c r="NHJ70"/>
      <c r="NHK70" s="148"/>
      <c r="NHL70"/>
      <c r="NHM70" s="140"/>
      <c r="NHN70" s="149"/>
      <c r="NHO70"/>
      <c r="NHP70" s="142"/>
      <c r="NHQ70" s="143"/>
      <c r="NHR70" s="144"/>
      <c r="NHS70" s="144"/>
      <c r="NHT70" s="143"/>
      <c r="NHU70" s="145"/>
      <c r="NHV70" s="143"/>
      <c r="NHW70" s="145"/>
      <c r="NHX70" s="146"/>
      <c r="NHY70" s="147"/>
      <c r="NHZ70"/>
      <c r="NIA70" s="148"/>
      <c r="NIB70"/>
      <c r="NIC70" s="140"/>
      <c r="NID70" s="149"/>
      <c r="NIE70"/>
      <c r="NIF70" s="142"/>
      <c r="NIG70" s="143"/>
      <c r="NIH70" s="144"/>
      <c r="NII70" s="144"/>
      <c r="NIJ70" s="143"/>
      <c r="NIK70" s="145"/>
      <c r="NIL70" s="143"/>
      <c r="NIM70" s="145"/>
      <c r="NIN70" s="146"/>
      <c r="NIO70" s="147"/>
      <c r="NIP70"/>
      <c r="NIQ70" s="148"/>
      <c r="NIR70"/>
      <c r="NIS70" s="140"/>
      <c r="NIT70" s="149"/>
      <c r="NIU70"/>
      <c r="NIV70" s="142"/>
      <c r="NIW70" s="143"/>
      <c r="NIX70" s="144"/>
      <c r="NIY70" s="144"/>
      <c r="NIZ70" s="143"/>
      <c r="NJA70" s="145"/>
      <c r="NJB70" s="143"/>
      <c r="NJC70" s="145"/>
      <c r="NJD70" s="146"/>
      <c r="NJE70" s="147"/>
      <c r="NJF70"/>
      <c r="NJG70" s="148"/>
      <c r="NJH70"/>
      <c r="NJI70" s="140"/>
      <c r="NJJ70" s="149"/>
      <c r="NJK70"/>
      <c r="NJL70" s="142"/>
      <c r="NJM70" s="143"/>
      <c r="NJN70" s="144"/>
      <c r="NJO70" s="144"/>
      <c r="NJP70" s="143"/>
      <c r="NJQ70" s="145"/>
      <c r="NJR70" s="143"/>
      <c r="NJS70" s="145"/>
      <c r="NJT70" s="146"/>
      <c r="NJU70" s="147"/>
      <c r="NJV70"/>
      <c r="NJW70" s="148"/>
      <c r="NJX70"/>
      <c r="NJY70" s="140"/>
      <c r="NJZ70" s="149"/>
      <c r="NKA70"/>
      <c r="NKB70" s="142"/>
      <c r="NKC70" s="143"/>
      <c r="NKD70" s="144"/>
      <c r="NKE70" s="144"/>
      <c r="NKF70" s="143"/>
      <c r="NKG70" s="145"/>
      <c r="NKH70" s="143"/>
      <c r="NKI70" s="145"/>
      <c r="NKJ70" s="146"/>
      <c r="NKK70" s="147"/>
      <c r="NKL70"/>
      <c r="NKM70" s="148"/>
      <c r="NKN70"/>
      <c r="NKO70" s="140"/>
      <c r="NKP70" s="149"/>
      <c r="NKQ70"/>
      <c r="NKR70" s="142"/>
      <c r="NKS70" s="143"/>
      <c r="NKT70" s="144"/>
      <c r="NKU70" s="144"/>
      <c r="NKV70" s="143"/>
      <c r="NKW70" s="145"/>
      <c r="NKX70" s="143"/>
      <c r="NKY70" s="145"/>
      <c r="NKZ70" s="146"/>
      <c r="NLA70" s="147"/>
      <c r="NLB70"/>
      <c r="NLC70" s="148"/>
      <c r="NLD70"/>
      <c r="NLE70" s="140"/>
      <c r="NLF70" s="149"/>
      <c r="NLG70"/>
      <c r="NLH70" s="142"/>
      <c r="NLI70" s="143"/>
      <c r="NLJ70" s="144"/>
      <c r="NLK70" s="144"/>
      <c r="NLL70" s="143"/>
      <c r="NLM70" s="145"/>
      <c r="NLN70" s="143"/>
      <c r="NLO70" s="145"/>
      <c r="NLP70" s="146"/>
      <c r="NLQ70" s="147"/>
      <c r="NLR70"/>
      <c r="NLS70" s="148"/>
      <c r="NLT70"/>
      <c r="NLU70" s="140"/>
      <c r="NLV70" s="149"/>
      <c r="NLW70"/>
      <c r="NLX70" s="142"/>
      <c r="NLY70" s="143"/>
      <c r="NLZ70" s="144"/>
      <c r="NMA70" s="144"/>
      <c r="NMB70" s="143"/>
      <c r="NMC70" s="145"/>
      <c r="NMD70" s="143"/>
      <c r="NME70" s="145"/>
      <c r="NMF70" s="146"/>
      <c r="NMG70" s="147"/>
      <c r="NMH70"/>
      <c r="NMI70" s="148"/>
      <c r="NMJ70"/>
      <c r="NMK70" s="140"/>
      <c r="NML70" s="149"/>
      <c r="NMM70"/>
      <c r="NMN70" s="142"/>
      <c r="NMO70" s="143"/>
      <c r="NMP70" s="144"/>
      <c r="NMQ70" s="144"/>
      <c r="NMR70" s="143"/>
      <c r="NMS70" s="145"/>
      <c r="NMT70" s="143"/>
      <c r="NMU70" s="145"/>
      <c r="NMV70" s="146"/>
      <c r="NMW70" s="147"/>
      <c r="NMX70"/>
      <c r="NMY70" s="148"/>
      <c r="NMZ70"/>
      <c r="NNA70" s="140"/>
      <c r="NNB70" s="149"/>
      <c r="NNC70"/>
      <c r="NND70" s="142"/>
      <c r="NNE70" s="143"/>
      <c r="NNF70" s="144"/>
      <c r="NNG70" s="144"/>
      <c r="NNH70" s="143"/>
      <c r="NNI70" s="145"/>
      <c r="NNJ70" s="143"/>
      <c r="NNK70" s="145"/>
      <c r="NNL70" s="146"/>
      <c r="NNM70" s="147"/>
      <c r="NNN70"/>
      <c r="NNO70" s="148"/>
      <c r="NNP70"/>
      <c r="NNQ70" s="140"/>
      <c r="NNR70" s="149"/>
      <c r="NNS70"/>
      <c r="NNT70" s="142"/>
      <c r="NNU70" s="143"/>
      <c r="NNV70" s="144"/>
      <c r="NNW70" s="144"/>
      <c r="NNX70" s="143"/>
      <c r="NNY70" s="145"/>
      <c r="NNZ70" s="143"/>
      <c r="NOA70" s="145"/>
      <c r="NOB70" s="146"/>
      <c r="NOC70" s="147"/>
      <c r="NOD70"/>
      <c r="NOE70" s="148"/>
      <c r="NOF70"/>
      <c r="NOG70" s="140"/>
      <c r="NOH70" s="149"/>
      <c r="NOI70"/>
      <c r="NOJ70" s="142"/>
      <c r="NOK70" s="143"/>
      <c r="NOL70" s="144"/>
      <c r="NOM70" s="144"/>
      <c r="NON70" s="143"/>
      <c r="NOO70" s="145"/>
      <c r="NOP70" s="143"/>
      <c r="NOQ70" s="145"/>
      <c r="NOR70" s="146"/>
      <c r="NOS70" s="147"/>
      <c r="NOT70"/>
      <c r="NOU70" s="148"/>
      <c r="NOV70"/>
      <c r="NOW70" s="140"/>
      <c r="NOX70" s="149"/>
      <c r="NOY70"/>
      <c r="NOZ70" s="142"/>
      <c r="NPA70" s="143"/>
      <c r="NPB70" s="144"/>
      <c r="NPC70" s="144"/>
      <c r="NPD70" s="143"/>
      <c r="NPE70" s="145"/>
      <c r="NPF70" s="143"/>
      <c r="NPG70" s="145"/>
      <c r="NPH70" s="146"/>
      <c r="NPI70" s="147"/>
      <c r="NPJ70"/>
      <c r="NPK70" s="148"/>
      <c r="NPL70"/>
      <c r="NPM70" s="140"/>
      <c r="NPN70" s="149"/>
      <c r="NPO70"/>
      <c r="NPP70" s="142"/>
      <c r="NPQ70" s="143"/>
      <c r="NPR70" s="144"/>
      <c r="NPS70" s="144"/>
      <c r="NPT70" s="143"/>
      <c r="NPU70" s="145"/>
      <c r="NPV70" s="143"/>
      <c r="NPW70" s="145"/>
      <c r="NPX70" s="146"/>
      <c r="NPY70" s="147"/>
      <c r="NPZ70"/>
      <c r="NQA70" s="148"/>
      <c r="NQB70"/>
      <c r="NQC70" s="140"/>
      <c r="NQD70" s="149"/>
      <c r="NQE70"/>
      <c r="NQF70" s="142"/>
      <c r="NQG70" s="143"/>
      <c r="NQH70" s="144"/>
      <c r="NQI70" s="144"/>
      <c r="NQJ70" s="143"/>
      <c r="NQK70" s="145"/>
      <c r="NQL70" s="143"/>
      <c r="NQM70" s="145"/>
      <c r="NQN70" s="146"/>
      <c r="NQO70" s="147"/>
      <c r="NQP70"/>
      <c r="NQQ70" s="148"/>
      <c r="NQR70"/>
      <c r="NQS70" s="140"/>
      <c r="NQT70" s="149"/>
      <c r="NQU70"/>
      <c r="NQV70" s="142"/>
      <c r="NQW70" s="143"/>
      <c r="NQX70" s="144"/>
      <c r="NQY70" s="144"/>
      <c r="NQZ70" s="143"/>
      <c r="NRA70" s="145"/>
      <c r="NRB70" s="143"/>
      <c r="NRC70" s="145"/>
      <c r="NRD70" s="146"/>
      <c r="NRE70" s="147"/>
      <c r="NRF70"/>
      <c r="NRG70" s="148"/>
      <c r="NRH70"/>
      <c r="NRI70" s="140"/>
      <c r="NRJ70" s="149"/>
      <c r="NRK70"/>
      <c r="NRL70" s="142"/>
      <c r="NRM70" s="143"/>
      <c r="NRN70" s="144"/>
      <c r="NRO70" s="144"/>
      <c r="NRP70" s="143"/>
      <c r="NRQ70" s="145"/>
      <c r="NRR70" s="143"/>
      <c r="NRS70" s="145"/>
      <c r="NRT70" s="146"/>
      <c r="NRU70" s="147"/>
      <c r="NRV70"/>
      <c r="NRW70" s="148"/>
      <c r="NRX70"/>
      <c r="NRY70" s="140"/>
      <c r="NRZ70" s="149"/>
      <c r="NSA70"/>
      <c r="NSB70" s="142"/>
      <c r="NSC70" s="143"/>
      <c r="NSD70" s="144"/>
      <c r="NSE70" s="144"/>
      <c r="NSF70" s="143"/>
      <c r="NSG70" s="145"/>
      <c r="NSH70" s="143"/>
      <c r="NSI70" s="145"/>
      <c r="NSJ70" s="146"/>
      <c r="NSK70" s="147"/>
      <c r="NSL70"/>
      <c r="NSM70" s="148"/>
      <c r="NSN70"/>
      <c r="NSO70" s="140"/>
      <c r="NSP70" s="149"/>
      <c r="NSQ70"/>
      <c r="NSR70" s="142"/>
      <c r="NSS70" s="143"/>
      <c r="NST70" s="144"/>
      <c r="NSU70" s="144"/>
      <c r="NSV70" s="143"/>
      <c r="NSW70" s="145"/>
      <c r="NSX70" s="143"/>
      <c r="NSY70" s="145"/>
      <c r="NSZ70" s="146"/>
      <c r="NTA70" s="147"/>
      <c r="NTB70"/>
      <c r="NTC70" s="148"/>
      <c r="NTD70"/>
      <c r="NTE70" s="140"/>
      <c r="NTF70" s="149"/>
      <c r="NTG70"/>
      <c r="NTH70" s="142"/>
      <c r="NTI70" s="143"/>
      <c r="NTJ70" s="144"/>
      <c r="NTK70" s="144"/>
      <c r="NTL70" s="143"/>
      <c r="NTM70" s="145"/>
      <c r="NTN70" s="143"/>
      <c r="NTO70" s="145"/>
      <c r="NTP70" s="146"/>
      <c r="NTQ70" s="147"/>
      <c r="NTR70"/>
      <c r="NTS70" s="148"/>
      <c r="NTT70"/>
      <c r="NTU70" s="140"/>
      <c r="NTV70" s="149"/>
      <c r="NTW70"/>
      <c r="NTX70" s="142"/>
      <c r="NTY70" s="143"/>
      <c r="NTZ70" s="144"/>
      <c r="NUA70" s="144"/>
      <c r="NUB70" s="143"/>
      <c r="NUC70" s="145"/>
      <c r="NUD70" s="143"/>
      <c r="NUE70" s="145"/>
      <c r="NUF70" s="146"/>
      <c r="NUG70" s="147"/>
      <c r="NUH70"/>
      <c r="NUI70" s="148"/>
      <c r="NUJ70"/>
      <c r="NUK70" s="140"/>
      <c r="NUL70" s="149"/>
      <c r="NUM70"/>
      <c r="NUN70" s="142"/>
      <c r="NUO70" s="143"/>
      <c r="NUP70" s="144"/>
      <c r="NUQ70" s="144"/>
      <c r="NUR70" s="143"/>
      <c r="NUS70" s="145"/>
      <c r="NUT70" s="143"/>
      <c r="NUU70" s="145"/>
      <c r="NUV70" s="146"/>
      <c r="NUW70" s="147"/>
      <c r="NUX70"/>
      <c r="NUY70" s="148"/>
      <c r="NUZ70"/>
      <c r="NVA70" s="140"/>
      <c r="NVB70" s="149"/>
      <c r="NVC70"/>
      <c r="NVD70" s="142"/>
      <c r="NVE70" s="143"/>
      <c r="NVF70" s="144"/>
      <c r="NVG70" s="144"/>
      <c r="NVH70" s="143"/>
      <c r="NVI70" s="145"/>
      <c r="NVJ70" s="143"/>
      <c r="NVK70" s="145"/>
      <c r="NVL70" s="146"/>
      <c r="NVM70" s="147"/>
      <c r="NVN70"/>
      <c r="NVO70" s="148"/>
      <c r="NVP70"/>
      <c r="NVQ70" s="140"/>
      <c r="NVR70" s="149"/>
      <c r="NVS70"/>
      <c r="NVT70" s="142"/>
      <c r="NVU70" s="143"/>
      <c r="NVV70" s="144"/>
      <c r="NVW70" s="144"/>
      <c r="NVX70" s="143"/>
      <c r="NVY70" s="145"/>
      <c r="NVZ70" s="143"/>
      <c r="NWA70" s="145"/>
      <c r="NWB70" s="146"/>
      <c r="NWC70" s="147"/>
      <c r="NWD70"/>
      <c r="NWE70" s="148"/>
      <c r="NWF70"/>
      <c r="NWG70" s="140"/>
      <c r="NWH70" s="149"/>
      <c r="NWI70"/>
      <c r="NWJ70" s="142"/>
      <c r="NWK70" s="143"/>
      <c r="NWL70" s="144"/>
      <c r="NWM70" s="144"/>
      <c r="NWN70" s="143"/>
      <c r="NWO70" s="145"/>
      <c r="NWP70" s="143"/>
      <c r="NWQ70" s="145"/>
      <c r="NWR70" s="146"/>
      <c r="NWS70" s="147"/>
      <c r="NWT70"/>
      <c r="NWU70" s="148"/>
      <c r="NWV70"/>
      <c r="NWW70" s="140"/>
      <c r="NWX70" s="149"/>
      <c r="NWY70"/>
      <c r="NWZ70" s="142"/>
      <c r="NXA70" s="143"/>
      <c r="NXB70" s="144"/>
      <c r="NXC70" s="144"/>
      <c r="NXD70" s="143"/>
      <c r="NXE70" s="145"/>
      <c r="NXF70" s="143"/>
      <c r="NXG70" s="145"/>
      <c r="NXH70" s="146"/>
      <c r="NXI70" s="147"/>
      <c r="NXJ70"/>
      <c r="NXK70" s="148"/>
      <c r="NXL70"/>
      <c r="NXM70" s="140"/>
      <c r="NXN70" s="149"/>
      <c r="NXO70"/>
      <c r="NXP70" s="142"/>
      <c r="NXQ70" s="143"/>
      <c r="NXR70" s="144"/>
      <c r="NXS70" s="144"/>
      <c r="NXT70" s="143"/>
      <c r="NXU70" s="145"/>
      <c r="NXV70" s="143"/>
      <c r="NXW70" s="145"/>
      <c r="NXX70" s="146"/>
      <c r="NXY70" s="147"/>
      <c r="NXZ70"/>
      <c r="NYA70" s="148"/>
      <c r="NYB70"/>
      <c r="NYC70" s="140"/>
      <c r="NYD70" s="149"/>
      <c r="NYE70"/>
      <c r="NYF70" s="142"/>
      <c r="NYG70" s="143"/>
      <c r="NYH70" s="144"/>
      <c r="NYI70" s="144"/>
      <c r="NYJ70" s="143"/>
      <c r="NYK70" s="145"/>
      <c r="NYL70" s="143"/>
      <c r="NYM70" s="145"/>
      <c r="NYN70" s="146"/>
      <c r="NYO70" s="147"/>
      <c r="NYP70"/>
      <c r="NYQ70" s="148"/>
      <c r="NYR70"/>
      <c r="NYS70" s="140"/>
      <c r="NYT70" s="149"/>
      <c r="NYU70"/>
      <c r="NYV70" s="142"/>
      <c r="NYW70" s="143"/>
      <c r="NYX70" s="144"/>
      <c r="NYY70" s="144"/>
      <c r="NYZ70" s="143"/>
      <c r="NZA70" s="145"/>
      <c r="NZB70" s="143"/>
      <c r="NZC70" s="145"/>
      <c r="NZD70" s="146"/>
      <c r="NZE70" s="147"/>
      <c r="NZF70"/>
      <c r="NZG70" s="148"/>
      <c r="NZH70"/>
      <c r="NZI70" s="140"/>
      <c r="NZJ70" s="149"/>
      <c r="NZK70"/>
      <c r="NZL70" s="142"/>
      <c r="NZM70" s="143"/>
      <c r="NZN70" s="144"/>
      <c r="NZO70" s="144"/>
      <c r="NZP70" s="143"/>
      <c r="NZQ70" s="145"/>
      <c r="NZR70" s="143"/>
      <c r="NZS70" s="145"/>
      <c r="NZT70" s="146"/>
      <c r="NZU70" s="147"/>
      <c r="NZV70"/>
      <c r="NZW70" s="148"/>
      <c r="NZX70"/>
      <c r="NZY70" s="140"/>
      <c r="NZZ70" s="149"/>
      <c r="OAA70"/>
      <c r="OAB70" s="142"/>
      <c r="OAC70" s="143"/>
      <c r="OAD70" s="144"/>
      <c r="OAE70" s="144"/>
      <c r="OAF70" s="143"/>
      <c r="OAG70" s="145"/>
      <c r="OAH70" s="143"/>
      <c r="OAI70" s="145"/>
      <c r="OAJ70" s="146"/>
      <c r="OAK70" s="147"/>
      <c r="OAL70"/>
      <c r="OAM70" s="148"/>
      <c r="OAN70"/>
      <c r="OAO70" s="140"/>
      <c r="OAP70" s="149"/>
      <c r="OAQ70"/>
      <c r="OAR70" s="142"/>
      <c r="OAS70" s="143"/>
      <c r="OAT70" s="144"/>
      <c r="OAU70" s="144"/>
      <c r="OAV70" s="143"/>
      <c r="OAW70" s="145"/>
      <c r="OAX70" s="143"/>
      <c r="OAY70" s="145"/>
      <c r="OAZ70" s="146"/>
      <c r="OBA70" s="147"/>
      <c r="OBB70"/>
      <c r="OBC70" s="148"/>
      <c r="OBD70"/>
      <c r="OBE70" s="140"/>
      <c r="OBF70" s="149"/>
      <c r="OBG70"/>
      <c r="OBH70" s="142"/>
      <c r="OBI70" s="143"/>
      <c r="OBJ70" s="144"/>
      <c r="OBK70" s="144"/>
      <c r="OBL70" s="143"/>
      <c r="OBM70" s="145"/>
      <c r="OBN70" s="143"/>
      <c r="OBO70" s="145"/>
      <c r="OBP70" s="146"/>
      <c r="OBQ70" s="147"/>
      <c r="OBR70"/>
      <c r="OBS70" s="148"/>
      <c r="OBT70"/>
      <c r="OBU70" s="140"/>
      <c r="OBV70" s="149"/>
      <c r="OBW70"/>
      <c r="OBX70" s="142"/>
      <c r="OBY70" s="143"/>
      <c r="OBZ70" s="144"/>
      <c r="OCA70" s="144"/>
      <c r="OCB70" s="143"/>
      <c r="OCC70" s="145"/>
      <c r="OCD70" s="143"/>
      <c r="OCE70" s="145"/>
      <c r="OCF70" s="146"/>
      <c r="OCG70" s="147"/>
      <c r="OCH70"/>
      <c r="OCI70" s="148"/>
      <c r="OCJ70"/>
      <c r="OCK70" s="140"/>
      <c r="OCL70" s="149"/>
      <c r="OCM70"/>
      <c r="OCN70" s="142"/>
      <c r="OCO70" s="143"/>
      <c r="OCP70" s="144"/>
      <c r="OCQ70" s="144"/>
      <c r="OCR70" s="143"/>
      <c r="OCS70" s="145"/>
      <c r="OCT70" s="143"/>
      <c r="OCU70" s="145"/>
      <c r="OCV70" s="146"/>
      <c r="OCW70" s="147"/>
      <c r="OCX70"/>
      <c r="OCY70" s="148"/>
      <c r="OCZ70"/>
      <c r="ODA70" s="140"/>
      <c r="ODB70" s="149"/>
      <c r="ODC70"/>
      <c r="ODD70" s="142"/>
      <c r="ODE70" s="143"/>
      <c r="ODF70" s="144"/>
      <c r="ODG70" s="144"/>
      <c r="ODH70" s="143"/>
      <c r="ODI70" s="145"/>
      <c r="ODJ70" s="143"/>
      <c r="ODK70" s="145"/>
      <c r="ODL70" s="146"/>
      <c r="ODM70" s="147"/>
      <c r="ODN70"/>
      <c r="ODO70" s="148"/>
      <c r="ODP70"/>
      <c r="ODQ70" s="140"/>
      <c r="ODR70" s="149"/>
      <c r="ODS70"/>
      <c r="ODT70" s="142"/>
      <c r="ODU70" s="143"/>
      <c r="ODV70" s="144"/>
      <c r="ODW70" s="144"/>
      <c r="ODX70" s="143"/>
      <c r="ODY70" s="145"/>
      <c r="ODZ70" s="143"/>
      <c r="OEA70" s="145"/>
      <c r="OEB70" s="146"/>
      <c r="OEC70" s="147"/>
      <c r="OED70"/>
      <c r="OEE70" s="148"/>
      <c r="OEF70"/>
      <c r="OEG70" s="140"/>
      <c r="OEH70" s="149"/>
      <c r="OEI70"/>
      <c r="OEJ70" s="142"/>
      <c r="OEK70" s="143"/>
      <c r="OEL70" s="144"/>
      <c r="OEM70" s="144"/>
      <c r="OEN70" s="143"/>
      <c r="OEO70" s="145"/>
      <c r="OEP70" s="143"/>
      <c r="OEQ70" s="145"/>
      <c r="OER70" s="146"/>
      <c r="OES70" s="147"/>
      <c r="OET70"/>
      <c r="OEU70" s="148"/>
      <c r="OEV70"/>
      <c r="OEW70" s="140"/>
      <c r="OEX70" s="149"/>
      <c r="OEY70"/>
      <c r="OEZ70" s="142"/>
      <c r="OFA70" s="143"/>
      <c r="OFB70" s="144"/>
      <c r="OFC70" s="144"/>
      <c r="OFD70" s="143"/>
      <c r="OFE70" s="145"/>
      <c r="OFF70" s="143"/>
      <c r="OFG70" s="145"/>
      <c r="OFH70" s="146"/>
      <c r="OFI70" s="147"/>
      <c r="OFJ70"/>
      <c r="OFK70" s="148"/>
      <c r="OFL70"/>
      <c r="OFM70" s="140"/>
      <c r="OFN70" s="149"/>
      <c r="OFO70"/>
      <c r="OFP70" s="142"/>
      <c r="OFQ70" s="143"/>
      <c r="OFR70" s="144"/>
      <c r="OFS70" s="144"/>
      <c r="OFT70" s="143"/>
      <c r="OFU70" s="145"/>
      <c r="OFV70" s="143"/>
      <c r="OFW70" s="145"/>
      <c r="OFX70" s="146"/>
      <c r="OFY70" s="147"/>
      <c r="OFZ70"/>
      <c r="OGA70" s="148"/>
      <c r="OGB70"/>
      <c r="OGC70" s="140"/>
      <c r="OGD70" s="149"/>
      <c r="OGE70"/>
      <c r="OGF70" s="142"/>
      <c r="OGG70" s="143"/>
      <c r="OGH70" s="144"/>
      <c r="OGI70" s="144"/>
      <c r="OGJ70" s="143"/>
      <c r="OGK70" s="145"/>
      <c r="OGL70" s="143"/>
      <c r="OGM70" s="145"/>
      <c r="OGN70" s="146"/>
      <c r="OGO70" s="147"/>
      <c r="OGP70"/>
      <c r="OGQ70" s="148"/>
      <c r="OGR70"/>
      <c r="OGS70" s="140"/>
      <c r="OGT70" s="149"/>
      <c r="OGU70"/>
      <c r="OGV70" s="142"/>
      <c r="OGW70" s="143"/>
      <c r="OGX70" s="144"/>
      <c r="OGY70" s="144"/>
      <c r="OGZ70" s="143"/>
      <c r="OHA70" s="145"/>
      <c r="OHB70" s="143"/>
      <c r="OHC70" s="145"/>
      <c r="OHD70" s="146"/>
      <c r="OHE70" s="147"/>
      <c r="OHF70"/>
      <c r="OHG70" s="148"/>
      <c r="OHH70"/>
      <c r="OHI70" s="140"/>
      <c r="OHJ70" s="149"/>
      <c r="OHK70"/>
      <c r="OHL70" s="142"/>
      <c r="OHM70" s="143"/>
      <c r="OHN70" s="144"/>
      <c r="OHO70" s="144"/>
      <c r="OHP70" s="143"/>
      <c r="OHQ70" s="145"/>
      <c r="OHR70" s="143"/>
      <c r="OHS70" s="145"/>
      <c r="OHT70" s="146"/>
      <c r="OHU70" s="147"/>
      <c r="OHV70"/>
      <c r="OHW70" s="148"/>
      <c r="OHX70"/>
      <c r="OHY70" s="140"/>
      <c r="OHZ70" s="149"/>
      <c r="OIA70"/>
      <c r="OIB70" s="142"/>
      <c r="OIC70" s="143"/>
      <c r="OID70" s="144"/>
      <c r="OIE70" s="144"/>
      <c r="OIF70" s="143"/>
      <c r="OIG70" s="145"/>
      <c r="OIH70" s="143"/>
      <c r="OII70" s="145"/>
      <c r="OIJ70" s="146"/>
      <c r="OIK70" s="147"/>
      <c r="OIL70"/>
      <c r="OIM70" s="148"/>
      <c r="OIN70"/>
      <c r="OIO70" s="140"/>
      <c r="OIP70" s="149"/>
      <c r="OIQ70"/>
      <c r="OIR70" s="142"/>
      <c r="OIS70" s="143"/>
      <c r="OIT70" s="144"/>
      <c r="OIU70" s="144"/>
      <c r="OIV70" s="143"/>
      <c r="OIW70" s="145"/>
      <c r="OIX70" s="143"/>
      <c r="OIY70" s="145"/>
      <c r="OIZ70" s="146"/>
      <c r="OJA70" s="147"/>
      <c r="OJB70"/>
      <c r="OJC70" s="148"/>
      <c r="OJD70"/>
      <c r="OJE70" s="140"/>
      <c r="OJF70" s="149"/>
      <c r="OJG70"/>
      <c r="OJH70" s="142"/>
      <c r="OJI70" s="143"/>
      <c r="OJJ70" s="144"/>
      <c r="OJK70" s="144"/>
      <c r="OJL70" s="143"/>
      <c r="OJM70" s="145"/>
      <c r="OJN70" s="143"/>
      <c r="OJO70" s="145"/>
      <c r="OJP70" s="146"/>
      <c r="OJQ70" s="147"/>
      <c r="OJR70"/>
      <c r="OJS70" s="148"/>
      <c r="OJT70"/>
      <c r="OJU70" s="140"/>
      <c r="OJV70" s="149"/>
      <c r="OJW70"/>
      <c r="OJX70" s="142"/>
      <c r="OJY70" s="143"/>
      <c r="OJZ70" s="144"/>
      <c r="OKA70" s="144"/>
      <c r="OKB70" s="143"/>
      <c r="OKC70" s="145"/>
      <c r="OKD70" s="143"/>
      <c r="OKE70" s="145"/>
      <c r="OKF70" s="146"/>
      <c r="OKG70" s="147"/>
      <c r="OKH70"/>
      <c r="OKI70" s="148"/>
      <c r="OKJ70"/>
      <c r="OKK70" s="140"/>
      <c r="OKL70" s="149"/>
      <c r="OKM70"/>
      <c r="OKN70" s="142"/>
      <c r="OKO70" s="143"/>
      <c r="OKP70" s="144"/>
      <c r="OKQ70" s="144"/>
      <c r="OKR70" s="143"/>
      <c r="OKS70" s="145"/>
      <c r="OKT70" s="143"/>
      <c r="OKU70" s="145"/>
      <c r="OKV70" s="146"/>
      <c r="OKW70" s="147"/>
      <c r="OKX70"/>
      <c r="OKY70" s="148"/>
      <c r="OKZ70"/>
      <c r="OLA70" s="140"/>
      <c r="OLB70" s="149"/>
      <c r="OLC70"/>
      <c r="OLD70" s="142"/>
      <c r="OLE70" s="143"/>
      <c r="OLF70" s="144"/>
      <c r="OLG70" s="144"/>
      <c r="OLH70" s="143"/>
      <c r="OLI70" s="145"/>
      <c r="OLJ70" s="143"/>
      <c r="OLK70" s="145"/>
      <c r="OLL70" s="146"/>
      <c r="OLM70" s="147"/>
      <c r="OLN70"/>
      <c r="OLO70" s="148"/>
      <c r="OLP70"/>
      <c r="OLQ70" s="140"/>
      <c r="OLR70" s="149"/>
      <c r="OLS70"/>
      <c r="OLT70" s="142"/>
      <c r="OLU70" s="143"/>
      <c r="OLV70" s="144"/>
      <c r="OLW70" s="144"/>
      <c r="OLX70" s="143"/>
      <c r="OLY70" s="145"/>
      <c r="OLZ70" s="143"/>
      <c r="OMA70" s="145"/>
      <c r="OMB70" s="146"/>
      <c r="OMC70" s="147"/>
      <c r="OMD70"/>
      <c r="OME70" s="148"/>
      <c r="OMF70"/>
      <c r="OMG70" s="140"/>
      <c r="OMH70" s="149"/>
      <c r="OMI70"/>
      <c r="OMJ70" s="142"/>
      <c r="OMK70" s="143"/>
      <c r="OML70" s="144"/>
      <c r="OMM70" s="144"/>
      <c r="OMN70" s="143"/>
      <c r="OMO70" s="145"/>
      <c r="OMP70" s="143"/>
      <c r="OMQ70" s="145"/>
      <c r="OMR70" s="146"/>
      <c r="OMS70" s="147"/>
      <c r="OMT70"/>
      <c r="OMU70" s="148"/>
      <c r="OMV70"/>
      <c r="OMW70" s="140"/>
      <c r="OMX70" s="149"/>
      <c r="OMY70"/>
      <c r="OMZ70" s="142"/>
      <c r="ONA70" s="143"/>
      <c r="ONB70" s="144"/>
      <c r="ONC70" s="144"/>
      <c r="OND70" s="143"/>
      <c r="ONE70" s="145"/>
      <c r="ONF70" s="143"/>
      <c r="ONG70" s="145"/>
      <c r="ONH70" s="146"/>
      <c r="ONI70" s="147"/>
      <c r="ONJ70"/>
      <c r="ONK70" s="148"/>
      <c r="ONL70"/>
      <c r="ONM70" s="140"/>
      <c r="ONN70" s="149"/>
      <c r="ONO70"/>
      <c r="ONP70" s="142"/>
      <c r="ONQ70" s="143"/>
      <c r="ONR70" s="144"/>
      <c r="ONS70" s="144"/>
      <c r="ONT70" s="143"/>
      <c r="ONU70" s="145"/>
      <c r="ONV70" s="143"/>
      <c r="ONW70" s="145"/>
      <c r="ONX70" s="146"/>
      <c r="ONY70" s="147"/>
      <c r="ONZ70"/>
      <c r="OOA70" s="148"/>
      <c r="OOB70"/>
      <c r="OOC70" s="140"/>
      <c r="OOD70" s="149"/>
      <c r="OOE70"/>
      <c r="OOF70" s="142"/>
      <c r="OOG70" s="143"/>
      <c r="OOH70" s="144"/>
      <c r="OOI70" s="144"/>
      <c r="OOJ70" s="143"/>
      <c r="OOK70" s="145"/>
      <c r="OOL70" s="143"/>
      <c r="OOM70" s="145"/>
      <c r="OON70" s="146"/>
      <c r="OOO70" s="147"/>
      <c r="OOP70"/>
      <c r="OOQ70" s="148"/>
      <c r="OOR70"/>
      <c r="OOS70" s="140"/>
      <c r="OOT70" s="149"/>
      <c r="OOU70"/>
      <c r="OOV70" s="142"/>
      <c r="OOW70" s="143"/>
      <c r="OOX70" s="144"/>
      <c r="OOY70" s="144"/>
      <c r="OOZ70" s="143"/>
      <c r="OPA70" s="145"/>
      <c r="OPB70" s="143"/>
      <c r="OPC70" s="145"/>
      <c r="OPD70" s="146"/>
      <c r="OPE70" s="147"/>
      <c r="OPF70"/>
      <c r="OPG70" s="148"/>
      <c r="OPH70"/>
      <c r="OPI70" s="140"/>
      <c r="OPJ70" s="149"/>
      <c r="OPK70"/>
      <c r="OPL70" s="142"/>
      <c r="OPM70" s="143"/>
      <c r="OPN70" s="144"/>
      <c r="OPO70" s="144"/>
      <c r="OPP70" s="143"/>
      <c r="OPQ70" s="145"/>
      <c r="OPR70" s="143"/>
      <c r="OPS70" s="145"/>
      <c r="OPT70" s="146"/>
      <c r="OPU70" s="147"/>
      <c r="OPV70"/>
      <c r="OPW70" s="148"/>
      <c r="OPX70"/>
      <c r="OPY70" s="140"/>
      <c r="OPZ70" s="149"/>
      <c r="OQA70"/>
      <c r="OQB70" s="142"/>
      <c r="OQC70" s="143"/>
      <c r="OQD70" s="144"/>
      <c r="OQE70" s="144"/>
      <c r="OQF70" s="143"/>
      <c r="OQG70" s="145"/>
      <c r="OQH70" s="143"/>
      <c r="OQI70" s="145"/>
      <c r="OQJ70" s="146"/>
      <c r="OQK70" s="147"/>
      <c r="OQL70"/>
      <c r="OQM70" s="148"/>
      <c r="OQN70"/>
      <c r="OQO70" s="140"/>
      <c r="OQP70" s="149"/>
      <c r="OQQ70"/>
      <c r="OQR70" s="142"/>
      <c r="OQS70" s="143"/>
      <c r="OQT70" s="144"/>
      <c r="OQU70" s="144"/>
      <c r="OQV70" s="143"/>
      <c r="OQW70" s="145"/>
      <c r="OQX70" s="143"/>
      <c r="OQY70" s="145"/>
      <c r="OQZ70" s="146"/>
      <c r="ORA70" s="147"/>
      <c r="ORB70"/>
      <c r="ORC70" s="148"/>
      <c r="ORD70"/>
      <c r="ORE70" s="140"/>
      <c r="ORF70" s="149"/>
      <c r="ORG70"/>
      <c r="ORH70" s="142"/>
      <c r="ORI70" s="143"/>
      <c r="ORJ70" s="144"/>
      <c r="ORK70" s="144"/>
      <c r="ORL70" s="143"/>
      <c r="ORM70" s="145"/>
      <c r="ORN70" s="143"/>
      <c r="ORO70" s="145"/>
      <c r="ORP70" s="146"/>
      <c r="ORQ70" s="147"/>
      <c r="ORR70"/>
      <c r="ORS70" s="148"/>
      <c r="ORT70"/>
      <c r="ORU70" s="140"/>
      <c r="ORV70" s="149"/>
      <c r="ORW70"/>
      <c r="ORX70" s="142"/>
      <c r="ORY70" s="143"/>
      <c r="ORZ70" s="144"/>
      <c r="OSA70" s="144"/>
      <c r="OSB70" s="143"/>
      <c r="OSC70" s="145"/>
      <c r="OSD70" s="143"/>
      <c r="OSE70" s="145"/>
      <c r="OSF70" s="146"/>
      <c r="OSG70" s="147"/>
      <c r="OSH70"/>
      <c r="OSI70" s="148"/>
      <c r="OSJ70"/>
      <c r="OSK70" s="140"/>
      <c r="OSL70" s="149"/>
      <c r="OSM70"/>
      <c r="OSN70" s="142"/>
      <c r="OSO70" s="143"/>
      <c r="OSP70" s="144"/>
      <c r="OSQ70" s="144"/>
      <c r="OSR70" s="143"/>
      <c r="OSS70" s="145"/>
      <c r="OST70" s="143"/>
      <c r="OSU70" s="145"/>
      <c r="OSV70" s="146"/>
      <c r="OSW70" s="147"/>
      <c r="OSX70"/>
      <c r="OSY70" s="148"/>
      <c r="OSZ70"/>
      <c r="OTA70" s="140"/>
      <c r="OTB70" s="149"/>
      <c r="OTC70"/>
      <c r="OTD70" s="142"/>
      <c r="OTE70" s="143"/>
      <c r="OTF70" s="144"/>
      <c r="OTG70" s="144"/>
      <c r="OTH70" s="143"/>
      <c r="OTI70" s="145"/>
      <c r="OTJ70" s="143"/>
      <c r="OTK70" s="145"/>
      <c r="OTL70" s="146"/>
      <c r="OTM70" s="147"/>
      <c r="OTN70"/>
      <c r="OTO70" s="148"/>
      <c r="OTP70"/>
      <c r="OTQ70" s="140"/>
      <c r="OTR70" s="149"/>
      <c r="OTS70"/>
      <c r="OTT70" s="142"/>
      <c r="OTU70" s="143"/>
      <c r="OTV70" s="144"/>
      <c r="OTW70" s="144"/>
      <c r="OTX70" s="143"/>
      <c r="OTY70" s="145"/>
      <c r="OTZ70" s="143"/>
      <c r="OUA70" s="145"/>
      <c r="OUB70" s="146"/>
      <c r="OUC70" s="147"/>
      <c r="OUD70"/>
      <c r="OUE70" s="148"/>
      <c r="OUF70"/>
      <c r="OUG70" s="140"/>
      <c r="OUH70" s="149"/>
      <c r="OUI70"/>
      <c r="OUJ70" s="142"/>
      <c r="OUK70" s="143"/>
      <c r="OUL70" s="144"/>
      <c r="OUM70" s="144"/>
      <c r="OUN70" s="143"/>
      <c r="OUO70" s="145"/>
      <c r="OUP70" s="143"/>
      <c r="OUQ70" s="145"/>
      <c r="OUR70" s="146"/>
      <c r="OUS70" s="147"/>
      <c r="OUT70"/>
      <c r="OUU70" s="148"/>
      <c r="OUV70"/>
      <c r="OUW70" s="140"/>
      <c r="OUX70" s="149"/>
      <c r="OUY70"/>
      <c r="OUZ70" s="142"/>
      <c r="OVA70" s="143"/>
      <c r="OVB70" s="144"/>
      <c r="OVC70" s="144"/>
      <c r="OVD70" s="143"/>
      <c r="OVE70" s="145"/>
      <c r="OVF70" s="143"/>
      <c r="OVG70" s="145"/>
      <c r="OVH70" s="146"/>
      <c r="OVI70" s="147"/>
      <c r="OVJ70"/>
      <c r="OVK70" s="148"/>
      <c r="OVL70"/>
      <c r="OVM70" s="140"/>
      <c r="OVN70" s="149"/>
      <c r="OVO70"/>
      <c r="OVP70" s="142"/>
      <c r="OVQ70" s="143"/>
      <c r="OVR70" s="144"/>
      <c r="OVS70" s="144"/>
      <c r="OVT70" s="143"/>
      <c r="OVU70" s="145"/>
      <c r="OVV70" s="143"/>
      <c r="OVW70" s="145"/>
      <c r="OVX70" s="146"/>
      <c r="OVY70" s="147"/>
      <c r="OVZ70"/>
      <c r="OWA70" s="148"/>
      <c r="OWB70"/>
      <c r="OWC70" s="140"/>
      <c r="OWD70" s="149"/>
      <c r="OWE70"/>
      <c r="OWF70" s="142"/>
      <c r="OWG70" s="143"/>
      <c r="OWH70" s="144"/>
      <c r="OWI70" s="144"/>
      <c r="OWJ70" s="143"/>
      <c r="OWK70" s="145"/>
      <c r="OWL70" s="143"/>
      <c r="OWM70" s="145"/>
      <c r="OWN70" s="146"/>
      <c r="OWO70" s="147"/>
      <c r="OWP70"/>
      <c r="OWQ70" s="148"/>
      <c r="OWR70"/>
      <c r="OWS70" s="140"/>
      <c r="OWT70" s="149"/>
      <c r="OWU70"/>
      <c r="OWV70" s="142"/>
      <c r="OWW70" s="143"/>
      <c r="OWX70" s="144"/>
      <c r="OWY70" s="144"/>
      <c r="OWZ70" s="143"/>
      <c r="OXA70" s="145"/>
      <c r="OXB70" s="143"/>
      <c r="OXC70" s="145"/>
      <c r="OXD70" s="146"/>
      <c r="OXE70" s="147"/>
      <c r="OXF70"/>
      <c r="OXG70" s="148"/>
      <c r="OXH70"/>
      <c r="OXI70" s="140"/>
      <c r="OXJ70" s="149"/>
      <c r="OXK70"/>
      <c r="OXL70" s="142"/>
      <c r="OXM70" s="143"/>
      <c r="OXN70" s="144"/>
      <c r="OXO70" s="144"/>
      <c r="OXP70" s="143"/>
      <c r="OXQ70" s="145"/>
      <c r="OXR70" s="143"/>
      <c r="OXS70" s="145"/>
      <c r="OXT70" s="146"/>
      <c r="OXU70" s="147"/>
      <c r="OXV70"/>
      <c r="OXW70" s="148"/>
      <c r="OXX70"/>
      <c r="OXY70" s="140"/>
      <c r="OXZ70" s="149"/>
      <c r="OYA70"/>
      <c r="OYB70" s="142"/>
      <c r="OYC70" s="143"/>
      <c r="OYD70" s="144"/>
      <c r="OYE70" s="144"/>
      <c r="OYF70" s="143"/>
      <c r="OYG70" s="145"/>
      <c r="OYH70" s="143"/>
      <c r="OYI70" s="145"/>
      <c r="OYJ70" s="146"/>
      <c r="OYK70" s="147"/>
      <c r="OYL70"/>
      <c r="OYM70" s="148"/>
      <c r="OYN70"/>
      <c r="OYO70" s="140"/>
      <c r="OYP70" s="149"/>
      <c r="OYQ70"/>
      <c r="OYR70" s="142"/>
      <c r="OYS70" s="143"/>
      <c r="OYT70" s="144"/>
      <c r="OYU70" s="144"/>
      <c r="OYV70" s="143"/>
      <c r="OYW70" s="145"/>
      <c r="OYX70" s="143"/>
      <c r="OYY70" s="145"/>
      <c r="OYZ70" s="146"/>
      <c r="OZA70" s="147"/>
      <c r="OZB70"/>
      <c r="OZC70" s="148"/>
      <c r="OZD70"/>
      <c r="OZE70" s="140"/>
      <c r="OZF70" s="149"/>
      <c r="OZG70"/>
      <c r="OZH70" s="142"/>
      <c r="OZI70" s="143"/>
      <c r="OZJ70" s="144"/>
      <c r="OZK70" s="144"/>
      <c r="OZL70" s="143"/>
      <c r="OZM70" s="145"/>
      <c r="OZN70" s="143"/>
      <c r="OZO70" s="145"/>
      <c r="OZP70" s="146"/>
      <c r="OZQ70" s="147"/>
      <c r="OZR70"/>
      <c r="OZS70" s="148"/>
      <c r="OZT70"/>
      <c r="OZU70" s="140"/>
      <c r="OZV70" s="149"/>
      <c r="OZW70"/>
      <c r="OZX70" s="142"/>
      <c r="OZY70" s="143"/>
      <c r="OZZ70" s="144"/>
      <c r="PAA70" s="144"/>
      <c r="PAB70" s="143"/>
      <c r="PAC70" s="145"/>
      <c r="PAD70" s="143"/>
      <c r="PAE70" s="145"/>
      <c r="PAF70" s="146"/>
      <c r="PAG70" s="147"/>
      <c r="PAH70"/>
      <c r="PAI70" s="148"/>
      <c r="PAJ70"/>
      <c r="PAK70" s="140"/>
      <c r="PAL70" s="149"/>
      <c r="PAM70"/>
      <c r="PAN70" s="142"/>
      <c r="PAO70" s="143"/>
      <c r="PAP70" s="144"/>
      <c r="PAQ70" s="144"/>
      <c r="PAR70" s="143"/>
      <c r="PAS70" s="145"/>
      <c r="PAT70" s="143"/>
      <c r="PAU70" s="145"/>
      <c r="PAV70" s="146"/>
      <c r="PAW70" s="147"/>
      <c r="PAX70"/>
      <c r="PAY70" s="148"/>
      <c r="PAZ70"/>
      <c r="PBA70" s="140"/>
      <c r="PBB70" s="149"/>
      <c r="PBC70"/>
      <c r="PBD70" s="142"/>
      <c r="PBE70" s="143"/>
      <c r="PBF70" s="144"/>
      <c r="PBG70" s="144"/>
      <c r="PBH70" s="143"/>
      <c r="PBI70" s="145"/>
      <c r="PBJ70" s="143"/>
      <c r="PBK70" s="145"/>
      <c r="PBL70" s="146"/>
      <c r="PBM70" s="147"/>
      <c r="PBN70"/>
      <c r="PBO70" s="148"/>
      <c r="PBP70"/>
      <c r="PBQ70" s="140"/>
      <c r="PBR70" s="149"/>
      <c r="PBS70"/>
      <c r="PBT70" s="142"/>
      <c r="PBU70" s="143"/>
      <c r="PBV70" s="144"/>
      <c r="PBW70" s="144"/>
      <c r="PBX70" s="143"/>
      <c r="PBY70" s="145"/>
      <c r="PBZ70" s="143"/>
      <c r="PCA70" s="145"/>
      <c r="PCB70" s="146"/>
      <c r="PCC70" s="147"/>
      <c r="PCD70"/>
      <c r="PCE70" s="148"/>
      <c r="PCF70"/>
      <c r="PCG70" s="140"/>
      <c r="PCH70" s="149"/>
      <c r="PCI70"/>
      <c r="PCJ70" s="142"/>
      <c r="PCK70" s="143"/>
      <c r="PCL70" s="144"/>
      <c r="PCM70" s="144"/>
      <c r="PCN70" s="143"/>
      <c r="PCO70" s="145"/>
      <c r="PCP70" s="143"/>
      <c r="PCQ70" s="145"/>
      <c r="PCR70" s="146"/>
      <c r="PCS70" s="147"/>
      <c r="PCT70"/>
      <c r="PCU70" s="148"/>
      <c r="PCV70"/>
      <c r="PCW70" s="140"/>
      <c r="PCX70" s="149"/>
      <c r="PCY70"/>
      <c r="PCZ70" s="142"/>
      <c r="PDA70" s="143"/>
      <c r="PDB70" s="144"/>
      <c r="PDC70" s="144"/>
      <c r="PDD70" s="143"/>
      <c r="PDE70" s="145"/>
      <c r="PDF70" s="143"/>
      <c r="PDG70" s="145"/>
      <c r="PDH70" s="146"/>
      <c r="PDI70" s="147"/>
      <c r="PDJ70"/>
      <c r="PDK70" s="148"/>
      <c r="PDL70"/>
      <c r="PDM70" s="140"/>
      <c r="PDN70" s="149"/>
      <c r="PDO70"/>
      <c r="PDP70" s="142"/>
      <c r="PDQ70" s="143"/>
      <c r="PDR70" s="144"/>
      <c r="PDS70" s="144"/>
      <c r="PDT70" s="143"/>
      <c r="PDU70" s="145"/>
      <c r="PDV70" s="143"/>
      <c r="PDW70" s="145"/>
      <c r="PDX70" s="146"/>
      <c r="PDY70" s="147"/>
      <c r="PDZ70"/>
      <c r="PEA70" s="148"/>
      <c r="PEB70"/>
      <c r="PEC70" s="140"/>
      <c r="PED70" s="149"/>
      <c r="PEE70"/>
      <c r="PEF70" s="142"/>
      <c r="PEG70" s="143"/>
      <c r="PEH70" s="144"/>
      <c r="PEI70" s="144"/>
      <c r="PEJ70" s="143"/>
      <c r="PEK70" s="145"/>
      <c r="PEL70" s="143"/>
      <c r="PEM70" s="145"/>
      <c r="PEN70" s="146"/>
      <c r="PEO70" s="147"/>
      <c r="PEP70"/>
      <c r="PEQ70" s="148"/>
      <c r="PER70"/>
      <c r="PES70" s="140"/>
      <c r="PET70" s="149"/>
      <c r="PEU70"/>
      <c r="PEV70" s="142"/>
      <c r="PEW70" s="143"/>
      <c r="PEX70" s="144"/>
      <c r="PEY70" s="144"/>
      <c r="PEZ70" s="143"/>
      <c r="PFA70" s="145"/>
      <c r="PFB70" s="143"/>
      <c r="PFC70" s="145"/>
      <c r="PFD70" s="146"/>
      <c r="PFE70" s="147"/>
      <c r="PFF70"/>
      <c r="PFG70" s="148"/>
      <c r="PFH70"/>
      <c r="PFI70" s="140"/>
      <c r="PFJ70" s="149"/>
      <c r="PFK70"/>
      <c r="PFL70" s="142"/>
      <c r="PFM70" s="143"/>
      <c r="PFN70" s="144"/>
      <c r="PFO70" s="144"/>
      <c r="PFP70" s="143"/>
      <c r="PFQ70" s="145"/>
      <c r="PFR70" s="143"/>
      <c r="PFS70" s="145"/>
      <c r="PFT70" s="146"/>
      <c r="PFU70" s="147"/>
      <c r="PFV70"/>
      <c r="PFW70" s="148"/>
      <c r="PFX70"/>
      <c r="PFY70" s="140"/>
      <c r="PFZ70" s="149"/>
      <c r="PGA70"/>
      <c r="PGB70" s="142"/>
      <c r="PGC70" s="143"/>
      <c r="PGD70" s="144"/>
      <c r="PGE70" s="144"/>
      <c r="PGF70" s="143"/>
      <c r="PGG70" s="145"/>
      <c r="PGH70" s="143"/>
      <c r="PGI70" s="145"/>
      <c r="PGJ70" s="146"/>
      <c r="PGK70" s="147"/>
      <c r="PGL70"/>
      <c r="PGM70" s="148"/>
      <c r="PGN70"/>
      <c r="PGO70" s="140"/>
      <c r="PGP70" s="149"/>
      <c r="PGQ70"/>
      <c r="PGR70" s="142"/>
      <c r="PGS70" s="143"/>
      <c r="PGT70" s="144"/>
      <c r="PGU70" s="144"/>
      <c r="PGV70" s="143"/>
      <c r="PGW70" s="145"/>
      <c r="PGX70" s="143"/>
      <c r="PGY70" s="145"/>
      <c r="PGZ70" s="146"/>
      <c r="PHA70" s="147"/>
      <c r="PHB70"/>
      <c r="PHC70" s="148"/>
      <c r="PHD70"/>
      <c r="PHE70" s="140"/>
      <c r="PHF70" s="149"/>
      <c r="PHG70"/>
      <c r="PHH70" s="142"/>
      <c r="PHI70" s="143"/>
      <c r="PHJ70" s="144"/>
      <c r="PHK70" s="144"/>
      <c r="PHL70" s="143"/>
      <c r="PHM70" s="145"/>
      <c r="PHN70" s="143"/>
      <c r="PHO70" s="145"/>
      <c r="PHP70" s="146"/>
      <c r="PHQ70" s="147"/>
      <c r="PHR70"/>
      <c r="PHS70" s="148"/>
      <c r="PHT70"/>
      <c r="PHU70" s="140"/>
      <c r="PHV70" s="149"/>
      <c r="PHW70"/>
      <c r="PHX70" s="142"/>
      <c r="PHY70" s="143"/>
      <c r="PHZ70" s="144"/>
      <c r="PIA70" s="144"/>
      <c r="PIB70" s="143"/>
      <c r="PIC70" s="145"/>
      <c r="PID70" s="143"/>
      <c r="PIE70" s="145"/>
      <c r="PIF70" s="146"/>
      <c r="PIG70" s="147"/>
      <c r="PIH70"/>
      <c r="PII70" s="148"/>
      <c r="PIJ70"/>
      <c r="PIK70" s="140"/>
      <c r="PIL70" s="149"/>
      <c r="PIM70"/>
      <c r="PIN70" s="142"/>
      <c r="PIO70" s="143"/>
      <c r="PIP70" s="144"/>
      <c r="PIQ70" s="144"/>
      <c r="PIR70" s="143"/>
      <c r="PIS70" s="145"/>
      <c r="PIT70" s="143"/>
      <c r="PIU70" s="145"/>
      <c r="PIV70" s="146"/>
      <c r="PIW70" s="147"/>
      <c r="PIX70"/>
      <c r="PIY70" s="148"/>
      <c r="PIZ70"/>
      <c r="PJA70" s="140"/>
      <c r="PJB70" s="149"/>
      <c r="PJC70"/>
      <c r="PJD70" s="142"/>
      <c r="PJE70" s="143"/>
      <c r="PJF70" s="144"/>
      <c r="PJG70" s="144"/>
      <c r="PJH70" s="143"/>
      <c r="PJI70" s="145"/>
      <c r="PJJ70" s="143"/>
      <c r="PJK70" s="145"/>
      <c r="PJL70" s="146"/>
      <c r="PJM70" s="147"/>
      <c r="PJN70"/>
      <c r="PJO70" s="148"/>
      <c r="PJP70"/>
      <c r="PJQ70" s="140"/>
      <c r="PJR70" s="149"/>
      <c r="PJS70"/>
      <c r="PJT70" s="142"/>
      <c r="PJU70" s="143"/>
      <c r="PJV70" s="144"/>
      <c r="PJW70" s="144"/>
      <c r="PJX70" s="143"/>
      <c r="PJY70" s="145"/>
      <c r="PJZ70" s="143"/>
      <c r="PKA70" s="145"/>
      <c r="PKB70" s="146"/>
      <c r="PKC70" s="147"/>
      <c r="PKD70"/>
      <c r="PKE70" s="148"/>
      <c r="PKF70"/>
      <c r="PKG70" s="140"/>
      <c r="PKH70" s="149"/>
      <c r="PKI70"/>
      <c r="PKJ70" s="142"/>
      <c r="PKK70" s="143"/>
      <c r="PKL70" s="144"/>
      <c r="PKM70" s="144"/>
      <c r="PKN70" s="143"/>
      <c r="PKO70" s="145"/>
      <c r="PKP70" s="143"/>
      <c r="PKQ70" s="145"/>
      <c r="PKR70" s="146"/>
      <c r="PKS70" s="147"/>
      <c r="PKT70"/>
      <c r="PKU70" s="148"/>
      <c r="PKV70"/>
      <c r="PKW70" s="140"/>
      <c r="PKX70" s="149"/>
      <c r="PKY70"/>
      <c r="PKZ70" s="142"/>
      <c r="PLA70" s="143"/>
      <c r="PLB70" s="144"/>
      <c r="PLC70" s="144"/>
      <c r="PLD70" s="143"/>
      <c r="PLE70" s="145"/>
      <c r="PLF70" s="143"/>
      <c r="PLG70" s="145"/>
      <c r="PLH70" s="146"/>
      <c r="PLI70" s="147"/>
      <c r="PLJ70"/>
      <c r="PLK70" s="148"/>
      <c r="PLL70"/>
      <c r="PLM70" s="140"/>
      <c r="PLN70" s="149"/>
      <c r="PLO70"/>
      <c r="PLP70" s="142"/>
      <c r="PLQ70" s="143"/>
      <c r="PLR70" s="144"/>
      <c r="PLS70" s="144"/>
      <c r="PLT70" s="143"/>
      <c r="PLU70" s="145"/>
      <c r="PLV70" s="143"/>
      <c r="PLW70" s="145"/>
      <c r="PLX70" s="146"/>
      <c r="PLY70" s="147"/>
      <c r="PLZ70"/>
      <c r="PMA70" s="148"/>
      <c r="PMB70"/>
      <c r="PMC70" s="140"/>
      <c r="PMD70" s="149"/>
      <c r="PME70"/>
      <c r="PMF70" s="142"/>
      <c r="PMG70" s="143"/>
      <c r="PMH70" s="144"/>
      <c r="PMI70" s="144"/>
      <c r="PMJ70" s="143"/>
      <c r="PMK70" s="145"/>
      <c r="PML70" s="143"/>
      <c r="PMM70" s="145"/>
      <c r="PMN70" s="146"/>
      <c r="PMO70" s="147"/>
      <c r="PMP70"/>
      <c r="PMQ70" s="148"/>
      <c r="PMR70"/>
      <c r="PMS70" s="140"/>
      <c r="PMT70" s="149"/>
      <c r="PMU70"/>
      <c r="PMV70" s="142"/>
      <c r="PMW70" s="143"/>
      <c r="PMX70" s="144"/>
      <c r="PMY70" s="144"/>
      <c r="PMZ70" s="143"/>
      <c r="PNA70" s="145"/>
      <c r="PNB70" s="143"/>
      <c r="PNC70" s="145"/>
      <c r="PND70" s="146"/>
      <c r="PNE70" s="147"/>
      <c r="PNF70"/>
      <c r="PNG70" s="148"/>
      <c r="PNH70"/>
      <c r="PNI70" s="140"/>
      <c r="PNJ70" s="149"/>
      <c r="PNK70"/>
      <c r="PNL70" s="142"/>
      <c r="PNM70" s="143"/>
      <c r="PNN70" s="144"/>
      <c r="PNO70" s="144"/>
      <c r="PNP70" s="143"/>
      <c r="PNQ70" s="145"/>
      <c r="PNR70" s="143"/>
      <c r="PNS70" s="145"/>
      <c r="PNT70" s="146"/>
      <c r="PNU70" s="147"/>
      <c r="PNV70"/>
      <c r="PNW70" s="148"/>
      <c r="PNX70"/>
      <c r="PNY70" s="140"/>
      <c r="PNZ70" s="149"/>
      <c r="POA70"/>
      <c r="POB70" s="142"/>
      <c r="POC70" s="143"/>
      <c r="POD70" s="144"/>
      <c r="POE70" s="144"/>
      <c r="POF70" s="143"/>
      <c r="POG70" s="145"/>
      <c r="POH70" s="143"/>
      <c r="POI70" s="145"/>
      <c r="POJ70" s="146"/>
      <c r="POK70" s="147"/>
      <c r="POL70"/>
      <c r="POM70" s="148"/>
      <c r="PON70"/>
      <c r="POO70" s="140"/>
      <c r="POP70" s="149"/>
      <c r="POQ70"/>
      <c r="POR70" s="142"/>
      <c r="POS70" s="143"/>
      <c r="POT70" s="144"/>
      <c r="POU70" s="144"/>
      <c r="POV70" s="143"/>
      <c r="POW70" s="145"/>
      <c r="POX70" s="143"/>
      <c r="POY70" s="145"/>
      <c r="POZ70" s="146"/>
      <c r="PPA70" s="147"/>
      <c r="PPB70"/>
      <c r="PPC70" s="148"/>
      <c r="PPD70"/>
      <c r="PPE70" s="140"/>
      <c r="PPF70" s="149"/>
      <c r="PPG70"/>
      <c r="PPH70" s="142"/>
      <c r="PPI70" s="143"/>
      <c r="PPJ70" s="144"/>
      <c r="PPK70" s="144"/>
      <c r="PPL70" s="143"/>
      <c r="PPM70" s="145"/>
      <c r="PPN70" s="143"/>
      <c r="PPO70" s="145"/>
      <c r="PPP70" s="146"/>
      <c r="PPQ70" s="147"/>
      <c r="PPR70"/>
      <c r="PPS70" s="148"/>
      <c r="PPT70"/>
      <c r="PPU70" s="140"/>
      <c r="PPV70" s="149"/>
      <c r="PPW70"/>
      <c r="PPX70" s="142"/>
      <c r="PPY70" s="143"/>
      <c r="PPZ70" s="144"/>
      <c r="PQA70" s="144"/>
      <c r="PQB70" s="143"/>
      <c r="PQC70" s="145"/>
      <c r="PQD70" s="143"/>
      <c r="PQE70" s="145"/>
      <c r="PQF70" s="146"/>
      <c r="PQG70" s="147"/>
      <c r="PQH70"/>
      <c r="PQI70" s="148"/>
      <c r="PQJ70"/>
      <c r="PQK70" s="140"/>
      <c r="PQL70" s="149"/>
      <c r="PQM70"/>
      <c r="PQN70" s="142"/>
      <c r="PQO70" s="143"/>
      <c r="PQP70" s="144"/>
      <c r="PQQ70" s="144"/>
      <c r="PQR70" s="143"/>
      <c r="PQS70" s="145"/>
      <c r="PQT70" s="143"/>
      <c r="PQU70" s="145"/>
      <c r="PQV70" s="146"/>
      <c r="PQW70" s="147"/>
      <c r="PQX70"/>
      <c r="PQY70" s="148"/>
      <c r="PQZ70"/>
      <c r="PRA70" s="140"/>
      <c r="PRB70" s="149"/>
      <c r="PRC70"/>
      <c r="PRD70" s="142"/>
      <c r="PRE70" s="143"/>
      <c r="PRF70" s="144"/>
      <c r="PRG70" s="144"/>
      <c r="PRH70" s="143"/>
      <c r="PRI70" s="145"/>
      <c r="PRJ70" s="143"/>
      <c r="PRK70" s="145"/>
      <c r="PRL70" s="146"/>
      <c r="PRM70" s="147"/>
      <c r="PRN70"/>
      <c r="PRO70" s="148"/>
      <c r="PRP70"/>
      <c r="PRQ70" s="140"/>
      <c r="PRR70" s="149"/>
      <c r="PRS70"/>
      <c r="PRT70" s="142"/>
      <c r="PRU70" s="143"/>
      <c r="PRV70" s="144"/>
      <c r="PRW70" s="144"/>
      <c r="PRX70" s="143"/>
      <c r="PRY70" s="145"/>
      <c r="PRZ70" s="143"/>
      <c r="PSA70" s="145"/>
      <c r="PSB70" s="146"/>
      <c r="PSC70" s="147"/>
      <c r="PSD70"/>
      <c r="PSE70" s="148"/>
      <c r="PSF70"/>
      <c r="PSG70" s="140"/>
      <c r="PSH70" s="149"/>
      <c r="PSI70"/>
      <c r="PSJ70" s="142"/>
      <c r="PSK70" s="143"/>
      <c r="PSL70" s="144"/>
      <c r="PSM70" s="144"/>
      <c r="PSN70" s="143"/>
      <c r="PSO70" s="145"/>
      <c r="PSP70" s="143"/>
      <c r="PSQ70" s="145"/>
      <c r="PSR70" s="146"/>
      <c r="PSS70" s="147"/>
      <c r="PST70"/>
      <c r="PSU70" s="148"/>
      <c r="PSV70"/>
      <c r="PSW70" s="140"/>
      <c r="PSX70" s="149"/>
      <c r="PSY70"/>
      <c r="PSZ70" s="142"/>
      <c r="PTA70" s="143"/>
      <c r="PTB70" s="144"/>
      <c r="PTC70" s="144"/>
      <c r="PTD70" s="143"/>
      <c r="PTE70" s="145"/>
      <c r="PTF70" s="143"/>
      <c r="PTG70" s="145"/>
      <c r="PTH70" s="146"/>
      <c r="PTI70" s="147"/>
      <c r="PTJ70"/>
      <c r="PTK70" s="148"/>
      <c r="PTL70"/>
      <c r="PTM70" s="140"/>
      <c r="PTN70" s="149"/>
      <c r="PTO70"/>
      <c r="PTP70" s="142"/>
      <c r="PTQ70" s="143"/>
      <c r="PTR70" s="144"/>
      <c r="PTS70" s="144"/>
      <c r="PTT70" s="143"/>
      <c r="PTU70" s="145"/>
      <c r="PTV70" s="143"/>
      <c r="PTW70" s="145"/>
      <c r="PTX70" s="146"/>
      <c r="PTY70" s="147"/>
      <c r="PTZ70"/>
      <c r="PUA70" s="148"/>
      <c r="PUB70"/>
      <c r="PUC70" s="140"/>
      <c r="PUD70" s="149"/>
      <c r="PUE70"/>
      <c r="PUF70" s="142"/>
      <c r="PUG70" s="143"/>
      <c r="PUH70" s="144"/>
      <c r="PUI70" s="144"/>
      <c r="PUJ70" s="143"/>
      <c r="PUK70" s="145"/>
      <c r="PUL70" s="143"/>
      <c r="PUM70" s="145"/>
      <c r="PUN70" s="146"/>
      <c r="PUO70" s="147"/>
      <c r="PUP70"/>
      <c r="PUQ70" s="148"/>
      <c r="PUR70"/>
      <c r="PUS70" s="140"/>
      <c r="PUT70" s="149"/>
      <c r="PUU70"/>
      <c r="PUV70" s="142"/>
      <c r="PUW70" s="143"/>
      <c r="PUX70" s="144"/>
      <c r="PUY70" s="144"/>
      <c r="PUZ70" s="143"/>
      <c r="PVA70" s="145"/>
      <c r="PVB70" s="143"/>
      <c r="PVC70" s="145"/>
      <c r="PVD70" s="146"/>
      <c r="PVE70" s="147"/>
      <c r="PVF70"/>
      <c r="PVG70" s="148"/>
      <c r="PVH70"/>
      <c r="PVI70" s="140"/>
      <c r="PVJ70" s="149"/>
      <c r="PVK70"/>
      <c r="PVL70" s="142"/>
      <c r="PVM70" s="143"/>
      <c r="PVN70" s="144"/>
      <c r="PVO70" s="144"/>
      <c r="PVP70" s="143"/>
      <c r="PVQ70" s="145"/>
      <c r="PVR70" s="143"/>
      <c r="PVS70" s="145"/>
      <c r="PVT70" s="146"/>
      <c r="PVU70" s="147"/>
      <c r="PVV70"/>
      <c r="PVW70" s="148"/>
      <c r="PVX70"/>
      <c r="PVY70" s="140"/>
      <c r="PVZ70" s="149"/>
      <c r="PWA70"/>
      <c r="PWB70" s="142"/>
      <c r="PWC70" s="143"/>
      <c r="PWD70" s="144"/>
      <c r="PWE70" s="144"/>
      <c r="PWF70" s="143"/>
      <c r="PWG70" s="145"/>
      <c r="PWH70" s="143"/>
      <c r="PWI70" s="145"/>
      <c r="PWJ70" s="146"/>
      <c r="PWK70" s="147"/>
      <c r="PWL70"/>
      <c r="PWM70" s="148"/>
      <c r="PWN70"/>
      <c r="PWO70" s="140"/>
      <c r="PWP70" s="149"/>
      <c r="PWQ70"/>
      <c r="PWR70" s="142"/>
      <c r="PWS70" s="143"/>
      <c r="PWT70" s="144"/>
      <c r="PWU70" s="144"/>
      <c r="PWV70" s="143"/>
      <c r="PWW70" s="145"/>
      <c r="PWX70" s="143"/>
      <c r="PWY70" s="145"/>
      <c r="PWZ70" s="146"/>
      <c r="PXA70" s="147"/>
      <c r="PXB70"/>
      <c r="PXC70" s="148"/>
      <c r="PXD70"/>
      <c r="PXE70" s="140"/>
      <c r="PXF70" s="149"/>
      <c r="PXG70"/>
      <c r="PXH70" s="142"/>
      <c r="PXI70" s="143"/>
      <c r="PXJ70" s="144"/>
      <c r="PXK70" s="144"/>
      <c r="PXL70" s="143"/>
      <c r="PXM70" s="145"/>
      <c r="PXN70" s="143"/>
      <c r="PXO70" s="145"/>
      <c r="PXP70" s="146"/>
      <c r="PXQ70" s="147"/>
      <c r="PXR70"/>
      <c r="PXS70" s="148"/>
      <c r="PXT70"/>
      <c r="PXU70" s="140"/>
      <c r="PXV70" s="149"/>
      <c r="PXW70"/>
      <c r="PXX70" s="142"/>
      <c r="PXY70" s="143"/>
      <c r="PXZ70" s="144"/>
      <c r="PYA70" s="144"/>
      <c r="PYB70" s="143"/>
      <c r="PYC70" s="145"/>
      <c r="PYD70" s="143"/>
      <c r="PYE70" s="145"/>
      <c r="PYF70" s="146"/>
      <c r="PYG70" s="147"/>
      <c r="PYH70"/>
      <c r="PYI70" s="148"/>
      <c r="PYJ70"/>
      <c r="PYK70" s="140"/>
      <c r="PYL70" s="149"/>
      <c r="PYM70"/>
      <c r="PYN70" s="142"/>
      <c r="PYO70" s="143"/>
      <c r="PYP70" s="144"/>
      <c r="PYQ70" s="144"/>
      <c r="PYR70" s="143"/>
      <c r="PYS70" s="145"/>
      <c r="PYT70" s="143"/>
      <c r="PYU70" s="145"/>
      <c r="PYV70" s="146"/>
      <c r="PYW70" s="147"/>
      <c r="PYX70"/>
      <c r="PYY70" s="148"/>
      <c r="PYZ70"/>
      <c r="PZA70" s="140"/>
      <c r="PZB70" s="149"/>
      <c r="PZC70"/>
      <c r="PZD70" s="142"/>
      <c r="PZE70" s="143"/>
      <c r="PZF70" s="144"/>
      <c r="PZG70" s="144"/>
      <c r="PZH70" s="143"/>
      <c r="PZI70" s="145"/>
      <c r="PZJ70" s="143"/>
      <c r="PZK70" s="145"/>
      <c r="PZL70" s="146"/>
      <c r="PZM70" s="147"/>
      <c r="PZN70"/>
      <c r="PZO70" s="148"/>
      <c r="PZP70"/>
      <c r="PZQ70" s="140"/>
      <c r="PZR70" s="149"/>
      <c r="PZS70"/>
      <c r="PZT70" s="142"/>
      <c r="PZU70" s="143"/>
      <c r="PZV70" s="144"/>
      <c r="PZW70" s="144"/>
      <c r="PZX70" s="143"/>
      <c r="PZY70" s="145"/>
      <c r="PZZ70" s="143"/>
      <c r="QAA70" s="145"/>
      <c r="QAB70" s="146"/>
      <c r="QAC70" s="147"/>
      <c r="QAD70"/>
      <c r="QAE70" s="148"/>
      <c r="QAF70"/>
      <c r="QAG70" s="140"/>
      <c r="QAH70" s="149"/>
      <c r="QAI70"/>
      <c r="QAJ70" s="142"/>
      <c r="QAK70" s="143"/>
      <c r="QAL70" s="144"/>
      <c r="QAM70" s="144"/>
      <c r="QAN70" s="143"/>
      <c r="QAO70" s="145"/>
      <c r="QAP70" s="143"/>
      <c r="QAQ70" s="145"/>
      <c r="QAR70" s="146"/>
      <c r="QAS70" s="147"/>
      <c r="QAT70"/>
      <c r="QAU70" s="148"/>
      <c r="QAV70"/>
      <c r="QAW70" s="140"/>
      <c r="QAX70" s="149"/>
      <c r="QAY70"/>
      <c r="QAZ70" s="142"/>
      <c r="QBA70" s="143"/>
      <c r="QBB70" s="144"/>
      <c r="QBC70" s="144"/>
      <c r="QBD70" s="143"/>
      <c r="QBE70" s="145"/>
      <c r="QBF70" s="143"/>
      <c r="QBG70" s="145"/>
      <c r="QBH70" s="146"/>
      <c r="QBI70" s="147"/>
      <c r="QBJ70"/>
      <c r="QBK70" s="148"/>
      <c r="QBL70"/>
      <c r="QBM70" s="140"/>
      <c r="QBN70" s="149"/>
      <c r="QBO70"/>
      <c r="QBP70" s="142"/>
      <c r="QBQ70" s="143"/>
      <c r="QBR70" s="144"/>
      <c r="QBS70" s="144"/>
      <c r="QBT70" s="143"/>
      <c r="QBU70" s="145"/>
      <c r="QBV70" s="143"/>
      <c r="QBW70" s="145"/>
      <c r="QBX70" s="146"/>
      <c r="QBY70" s="147"/>
      <c r="QBZ70"/>
      <c r="QCA70" s="148"/>
      <c r="QCB70"/>
      <c r="QCC70" s="140"/>
      <c r="QCD70" s="149"/>
      <c r="QCE70"/>
      <c r="QCF70" s="142"/>
      <c r="QCG70" s="143"/>
      <c r="QCH70" s="144"/>
      <c r="QCI70" s="144"/>
      <c r="QCJ70" s="143"/>
      <c r="QCK70" s="145"/>
      <c r="QCL70" s="143"/>
      <c r="QCM70" s="145"/>
      <c r="QCN70" s="146"/>
      <c r="QCO70" s="147"/>
      <c r="QCP70"/>
      <c r="QCQ70" s="148"/>
      <c r="QCR70"/>
      <c r="QCS70" s="140"/>
      <c r="QCT70" s="149"/>
      <c r="QCU70"/>
      <c r="QCV70" s="142"/>
      <c r="QCW70" s="143"/>
      <c r="QCX70" s="144"/>
      <c r="QCY70" s="144"/>
      <c r="QCZ70" s="143"/>
      <c r="QDA70" s="145"/>
      <c r="QDB70" s="143"/>
      <c r="QDC70" s="145"/>
      <c r="QDD70" s="146"/>
      <c r="QDE70" s="147"/>
      <c r="QDF70"/>
      <c r="QDG70" s="148"/>
      <c r="QDH70"/>
      <c r="QDI70" s="140"/>
      <c r="QDJ70" s="149"/>
      <c r="QDK70"/>
      <c r="QDL70" s="142"/>
      <c r="QDM70" s="143"/>
      <c r="QDN70" s="144"/>
      <c r="QDO70" s="144"/>
      <c r="QDP70" s="143"/>
      <c r="QDQ70" s="145"/>
      <c r="QDR70" s="143"/>
      <c r="QDS70" s="145"/>
      <c r="QDT70" s="146"/>
      <c r="QDU70" s="147"/>
      <c r="QDV70"/>
      <c r="QDW70" s="148"/>
      <c r="QDX70"/>
      <c r="QDY70" s="140"/>
      <c r="QDZ70" s="149"/>
      <c r="QEA70"/>
      <c r="QEB70" s="142"/>
      <c r="QEC70" s="143"/>
      <c r="QED70" s="144"/>
      <c r="QEE70" s="144"/>
      <c r="QEF70" s="143"/>
      <c r="QEG70" s="145"/>
      <c r="QEH70" s="143"/>
      <c r="QEI70" s="145"/>
      <c r="QEJ70" s="146"/>
      <c r="QEK70" s="147"/>
      <c r="QEL70"/>
      <c r="QEM70" s="148"/>
      <c r="QEN70"/>
      <c r="QEO70" s="140"/>
      <c r="QEP70" s="149"/>
      <c r="QEQ70"/>
      <c r="QER70" s="142"/>
      <c r="QES70" s="143"/>
      <c r="QET70" s="144"/>
      <c r="QEU70" s="144"/>
      <c r="QEV70" s="143"/>
      <c r="QEW70" s="145"/>
      <c r="QEX70" s="143"/>
      <c r="QEY70" s="145"/>
      <c r="QEZ70" s="146"/>
      <c r="QFA70" s="147"/>
      <c r="QFB70"/>
      <c r="QFC70" s="148"/>
      <c r="QFD70"/>
      <c r="QFE70" s="140"/>
      <c r="QFF70" s="149"/>
      <c r="QFG70"/>
      <c r="QFH70" s="142"/>
      <c r="QFI70" s="143"/>
      <c r="QFJ70" s="144"/>
      <c r="QFK70" s="144"/>
      <c r="QFL70" s="143"/>
      <c r="QFM70" s="145"/>
      <c r="QFN70" s="143"/>
      <c r="QFO70" s="145"/>
      <c r="QFP70" s="146"/>
      <c r="QFQ70" s="147"/>
      <c r="QFR70"/>
      <c r="QFS70" s="148"/>
      <c r="QFT70"/>
      <c r="QFU70" s="140"/>
      <c r="QFV70" s="149"/>
      <c r="QFW70"/>
      <c r="QFX70" s="142"/>
      <c r="QFY70" s="143"/>
      <c r="QFZ70" s="144"/>
      <c r="QGA70" s="144"/>
      <c r="QGB70" s="143"/>
      <c r="QGC70" s="145"/>
      <c r="QGD70" s="143"/>
      <c r="QGE70" s="145"/>
      <c r="QGF70" s="146"/>
      <c r="QGG70" s="147"/>
      <c r="QGH70"/>
      <c r="QGI70" s="148"/>
      <c r="QGJ70"/>
      <c r="QGK70" s="140"/>
      <c r="QGL70" s="149"/>
      <c r="QGM70"/>
      <c r="QGN70" s="142"/>
      <c r="QGO70" s="143"/>
      <c r="QGP70" s="144"/>
      <c r="QGQ70" s="144"/>
      <c r="QGR70" s="143"/>
      <c r="QGS70" s="145"/>
      <c r="QGT70" s="143"/>
      <c r="QGU70" s="145"/>
      <c r="QGV70" s="146"/>
      <c r="QGW70" s="147"/>
      <c r="QGX70"/>
      <c r="QGY70" s="148"/>
      <c r="QGZ70"/>
      <c r="QHA70" s="140"/>
      <c r="QHB70" s="149"/>
      <c r="QHC70"/>
      <c r="QHD70" s="142"/>
      <c r="QHE70" s="143"/>
      <c r="QHF70" s="144"/>
      <c r="QHG70" s="144"/>
      <c r="QHH70" s="143"/>
      <c r="QHI70" s="145"/>
      <c r="QHJ70" s="143"/>
      <c r="QHK70" s="145"/>
      <c r="QHL70" s="146"/>
      <c r="QHM70" s="147"/>
      <c r="QHN70"/>
      <c r="QHO70" s="148"/>
      <c r="QHP70"/>
      <c r="QHQ70" s="140"/>
      <c r="QHR70" s="149"/>
      <c r="QHS70"/>
      <c r="QHT70" s="142"/>
      <c r="QHU70" s="143"/>
      <c r="QHV70" s="144"/>
      <c r="QHW70" s="144"/>
      <c r="QHX70" s="143"/>
      <c r="QHY70" s="145"/>
      <c r="QHZ70" s="143"/>
      <c r="QIA70" s="145"/>
      <c r="QIB70" s="146"/>
      <c r="QIC70" s="147"/>
      <c r="QID70"/>
      <c r="QIE70" s="148"/>
      <c r="QIF70"/>
      <c r="QIG70" s="140"/>
      <c r="QIH70" s="149"/>
      <c r="QII70"/>
      <c r="QIJ70" s="142"/>
      <c r="QIK70" s="143"/>
      <c r="QIL70" s="144"/>
      <c r="QIM70" s="144"/>
      <c r="QIN70" s="143"/>
      <c r="QIO70" s="145"/>
      <c r="QIP70" s="143"/>
      <c r="QIQ70" s="145"/>
      <c r="QIR70" s="146"/>
      <c r="QIS70" s="147"/>
      <c r="QIT70"/>
      <c r="QIU70" s="148"/>
      <c r="QIV70"/>
      <c r="QIW70" s="140"/>
      <c r="QIX70" s="149"/>
      <c r="QIY70"/>
      <c r="QIZ70" s="142"/>
      <c r="QJA70" s="143"/>
      <c r="QJB70" s="144"/>
      <c r="QJC70" s="144"/>
      <c r="QJD70" s="143"/>
      <c r="QJE70" s="145"/>
      <c r="QJF70" s="143"/>
      <c r="QJG70" s="145"/>
      <c r="QJH70" s="146"/>
      <c r="QJI70" s="147"/>
      <c r="QJJ70"/>
      <c r="QJK70" s="148"/>
      <c r="QJL70"/>
      <c r="QJM70" s="140"/>
      <c r="QJN70" s="149"/>
      <c r="QJO70"/>
      <c r="QJP70" s="142"/>
      <c r="QJQ70" s="143"/>
      <c r="QJR70" s="144"/>
      <c r="QJS70" s="144"/>
      <c r="QJT70" s="143"/>
      <c r="QJU70" s="145"/>
      <c r="QJV70" s="143"/>
      <c r="QJW70" s="145"/>
      <c r="QJX70" s="146"/>
      <c r="QJY70" s="147"/>
      <c r="QJZ70"/>
      <c r="QKA70" s="148"/>
      <c r="QKB70"/>
      <c r="QKC70" s="140"/>
      <c r="QKD70" s="149"/>
      <c r="QKE70"/>
      <c r="QKF70" s="142"/>
      <c r="QKG70" s="143"/>
      <c r="QKH70" s="144"/>
      <c r="QKI70" s="144"/>
      <c r="QKJ70" s="143"/>
      <c r="QKK70" s="145"/>
      <c r="QKL70" s="143"/>
      <c r="QKM70" s="145"/>
      <c r="QKN70" s="146"/>
      <c r="QKO70" s="147"/>
      <c r="QKP70"/>
      <c r="QKQ70" s="148"/>
      <c r="QKR70"/>
      <c r="QKS70" s="140"/>
      <c r="QKT70" s="149"/>
      <c r="QKU70"/>
      <c r="QKV70" s="142"/>
      <c r="QKW70" s="143"/>
      <c r="QKX70" s="144"/>
      <c r="QKY70" s="144"/>
      <c r="QKZ70" s="143"/>
      <c r="QLA70" s="145"/>
      <c r="QLB70" s="143"/>
      <c r="QLC70" s="145"/>
      <c r="QLD70" s="146"/>
      <c r="QLE70" s="147"/>
      <c r="QLF70"/>
      <c r="QLG70" s="148"/>
      <c r="QLH70"/>
      <c r="QLI70" s="140"/>
      <c r="QLJ70" s="149"/>
      <c r="QLK70"/>
      <c r="QLL70" s="142"/>
      <c r="QLM70" s="143"/>
      <c r="QLN70" s="144"/>
      <c r="QLO70" s="144"/>
      <c r="QLP70" s="143"/>
      <c r="QLQ70" s="145"/>
      <c r="QLR70" s="143"/>
      <c r="QLS70" s="145"/>
      <c r="QLT70" s="146"/>
      <c r="QLU70" s="147"/>
      <c r="QLV70"/>
      <c r="QLW70" s="148"/>
      <c r="QLX70"/>
      <c r="QLY70" s="140"/>
      <c r="QLZ70" s="149"/>
      <c r="QMA70"/>
      <c r="QMB70" s="142"/>
      <c r="QMC70" s="143"/>
      <c r="QMD70" s="144"/>
      <c r="QME70" s="144"/>
      <c r="QMF70" s="143"/>
      <c r="QMG70" s="145"/>
      <c r="QMH70" s="143"/>
      <c r="QMI70" s="145"/>
      <c r="QMJ70" s="146"/>
      <c r="QMK70" s="147"/>
      <c r="QML70"/>
      <c r="QMM70" s="148"/>
      <c r="QMN70"/>
      <c r="QMO70" s="140"/>
      <c r="QMP70" s="149"/>
      <c r="QMQ70"/>
      <c r="QMR70" s="142"/>
      <c r="QMS70" s="143"/>
      <c r="QMT70" s="144"/>
      <c r="QMU70" s="144"/>
      <c r="QMV70" s="143"/>
      <c r="QMW70" s="145"/>
      <c r="QMX70" s="143"/>
      <c r="QMY70" s="145"/>
      <c r="QMZ70" s="146"/>
      <c r="QNA70" s="147"/>
      <c r="QNB70"/>
      <c r="QNC70" s="148"/>
      <c r="QND70"/>
      <c r="QNE70" s="140"/>
      <c r="QNF70" s="149"/>
      <c r="QNG70"/>
      <c r="QNH70" s="142"/>
      <c r="QNI70" s="143"/>
      <c r="QNJ70" s="144"/>
      <c r="QNK70" s="144"/>
      <c r="QNL70" s="143"/>
      <c r="QNM70" s="145"/>
      <c r="QNN70" s="143"/>
      <c r="QNO70" s="145"/>
      <c r="QNP70" s="146"/>
      <c r="QNQ70" s="147"/>
      <c r="QNR70"/>
      <c r="QNS70" s="148"/>
      <c r="QNT70"/>
      <c r="QNU70" s="140"/>
      <c r="QNV70" s="149"/>
      <c r="QNW70"/>
      <c r="QNX70" s="142"/>
      <c r="QNY70" s="143"/>
      <c r="QNZ70" s="144"/>
      <c r="QOA70" s="144"/>
      <c r="QOB70" s="143"/>
      <c r="QOC70" s="145"/>
      <c r="QOD70" s="143"/>
      <c r="QOE70" s="145"/>
      <c r="QOF70" s="146"/>
      <c r="QOG70" s="147"/>
      <c r="QOH70"/>
      <c r="QOI70" s="148"/>
      <c r="QOJ70"/>
      <c r="QOK70" s="140"/>
      <c r="QOL70" s="149"/>
      <c r="QOM70"/>
      <c r="QON70" s="142"/>
      <c r="QOO70" s="143"/>
      <c r="QOP70" s="144"/>
      <c r="QOQ70" s="144"/>
      <c r="QOR70" s="143"/>
      <c r="QOS70" s="145"/>
      <c r="QOT70" s="143"/>
      <c r="QOU70" s="145"/>
      <c r="QOV70" s="146"/>
      <c r="QOW70" s="147"/>
      <c r="QOX70"/>
      <c r="QOY70" s="148"/>
      <c r="QOZ70"/>
      <c r="QPA70" s="140"/>
      <c r="QPB70" s="149"/>
      <c r="QPC70"/>
      <c r="QPD70" s="142"/>
      <c r="QPE70" s="143"/>
      <c r="QPF70" s="144"/>
      <c r="QPG70" s="144"/>
      <c r="QPH70" s="143"/>
      <c r="QPI70" s="145"/>
      <c r="QPJ70" s="143"/>
      <c r="QPK70" s="145"/>
      <c r="QPL70" s="146"/>
      <c r="QPM70" s="147"/>
      <c r="QPN70"/>
      <c r="QPO70" s="148"/>
      <c r="QPP70"/>
      <c r="QPQ70" s="140"/>
      <c r="QPR70" s="149"/>
      <c r="QPS70"/>
      <c r="QPT70" s="142"/>
      <c r="QPU70" s="143"/>
      <c r="QPV70" s="144"/>
      <c r="QPW70" s="144"/>
      <c r="QPX70" s="143"/>
      <c r="QPY70" s="145"/>
      <c r="QPZ70" s="143"/>
      <c r="QQA70" s="145"/>
      <c r="QQB70" s="146"/>
      <c r="QQC70" s="147"/>
      <c r="QQD70"/>
      <c r="QQE70" s="148"/>
      <c r="QQF70"/>
      <c r="QQG70" s="140"/>
      <c r="QQH70" s="149"/>
      <c r="QQI70"/>
      <c r="QQJ70" s="142"/>
      <c r="QQK70" s="143"/>
      <c r="QQL70" s="144"/>
      <c r="QQM70" s="144"/>
      <c r="QQN70" s="143"/>
      <c r="QQO70" s="145"/>
      <c r="QQP70" s="143"/>
      <c r="QQQ70" s="145"/>
      <c r="QQR70" s="146"/>
      <c r="QQS70" s="147"/>
      <c r="QQT70"/>
      <c r="QQU70" s="148"/>
      <c r="QQV70"/>
      <c r="QQW70" s="140"/>
      <c r="QQX70" s="149"/>
      <c r="QQY70"/>
      <c r="QQZ70" s="142"/>
      <c r="QRA70" s="143"/>
      <c r="QRB70" s="144"/>
      <c r="QRC70" s="144"/>
      <c r="QRD70" s="143"/>
      <c r="QRE70" s="145"/>
      <c r="QRF70" s="143"/>
      <c r="QRG70" s="145"/>
      <c r="QRH70" s="146"/>
      <c r="QRI70" s="147"/>
      <c r="QRJ70"/>
      <c r="QRK70" s="148"/>
      <c r="QRL70"/>
      <c r="QRM70" s="140"/>
      <c r="QRN70" s="149"/>
      <c r="QRO70"/>
      <c r="QRP70" s="142"/>
      <c r="QRQ70" s="143"/>
      <c r="QRR70" s="144"/>
      <c r="QRS70" s="144"/>
      <c r="QRT70" s="143"/>
      <c r="QRU70" s="145"/>
      <c r="QRV70" s="143"/>
      <c r="QRW70" s="145"/>
      <c r="QRX70" s="146"/>
      <c r="QRY70" s="147"/>
      <c r="QRZ70"/>
      <c r="QSA70" s="148"/>
      <c r="QSB70"/>
      <c r="QSC70" s="140"/>
      <c r="QSD70" s="149"/>
      <c r="QSE70"/>
      <c r="QSF70" s="142"/>
      <c r="QSG70" s="143"/>
      <c r="QSH70" s="144"/>
      <c r="QSI70" s="144"/>
      <c r="QSJ70" s="143"/>
      <c r="QSK70" s="145"/>
      <c r="QSL70" s="143"/>
      <c r="QSM70" s="145"/>
      <c r="QSN70" s="146"/>
      <c r="QSO70" s="147"/>
      <c r="QSP70"/>
      <c r="QSQ70" s="148"/>
      <c r="QSR70"/>
      <c r="QSS70" s="140"/>
      <c r="QST70" s="149"/>
      <c r="QSU70"/>
      <c r="QSV70" s="142"/>
      <c r="QSW70" s="143"/>
      <c r="QSX70" s="144"/>
      <c r="QSY70" s="144"/>
      <c r="QSZ70" s="143"/>
      <c r="QTA70" s="145"/>
      <c r="QTB70" s="143"/>
      <c r="QTC70" s="145"/>
      <c r="QTD70" s="146"/>
      <c r="QTE70" s="147"/>
      <c r="QTF70"/>
      <c r="QTG70" s="148"/>
      <c r="QTH70"/>
      <c r="QTI70" s="140"/>
      <c r="QTJ70" s="149"/>
      <c r="QTK70"/>
      <c r="QTL70" s="142"/>
      <c r="QTM70" s="143"/>
      <c r="QTN70" s="144"/>
      <c r="QTO70" s="144"/>
      <c r="QTP70" s="143"/>
      <c r="QTQ70" s="145"/>
      <c r="QTR70" s="143"/>
      <c r="QTS70" s="145"/>
      <c r="QTT70" s="146"/>
      <c r="QTU70" s="147"/>
      <c r="QTV70"/>
      <c r="QTW70" s="148"/>
      <c r="QTX70"/>
      <c r="QTY70" s="140"/>
      <c r="QTZ70" s="149"/>
      <c r="QUA70"/>
      <c r="QUB70" s="142"/>
      <c r="QUC70" s="143"/>
      <c r="QUD70" s="144"/>
      <c r="QUE70" s="144"/>
      <c r="QUF70" s="143"/>
      <c r="QUG70" s="145"/>
      <c r="QUH70" s="143"/>
      <c r="QUI70" s="145"/>
      <c r="QUJ70" s="146"/>
      <c r="QUK70" s="147"/>
      <c r="QUL70"/>
      <c r="QUM70" s="148"/>
      <c r="QUN70"/>
      <c r="QUO70" s="140"/>
      <c r="QUP70" s="149"/>
      <c r="QUQ70"/>
      <c r="QUR70" s="142"/>
      <c r="QUS70" s="143"/>
      <c r="QUT70" s="144"/>
      <c r="QUU70" s="144"/>
      <c r="QUV70" s="143"/>
      <c r="QUW70" s="145"/>
      <c r="QUX70" s="143"/>
      <c r="QUY70" s="145"/>
      <c r="QUZ70" s="146"/>
      <c r="QVA70" s="147"/>
      <c r="QVB70"/>
      <c r="QVC70" s="148"/>
      <c r="QVD70"/>
      <c r="QVE70" s="140"/>
      <c r="QVF70" s="149"/>
      <c r="QVG70"/>
      <c r="QVH70" s="142"/>
      <c r="QVI70" s="143"/>
      <c r="QVJ70" s="144"/>
      <c r="QVK70" s="144"/>
      <c r="QVL70" s="143"/>
      <c r="QVM70" s="145"/>
      <c r="QVN70" s="143"/>
      <c r="QVO70" s="145"/>
      <c r="QVP70" s="146"/>
      <c r="QVQ70" s="147"/>
      <c r="QVR70"/>
      <c r="QVS70" s="148"/>
      <c r="QVT70"/>
      <c r="QVU70" s="140"/>
      <c r="QVV70" s="149"/>
      <c r="QVW70"/>
      <c r="QVX70" s="142"/>
      <c r="QVY70" s="143"/>
      <c r="QVZ70" s="144"/>
      <c r="QWA70" s="144"/>
      <c r="QWB70" s="143"/>
      <c r="QWC70" s="145"/>
      <c r="QWD70" s="143"/>
      <c r="QWE70" s="145"/>
      <c r="QWF70" s="146"/>
      <c r="QWG70" s="147"/>
      <c r="QWH70"/>
      <c r="QWI70" s="148"/>
      <c r="QWJ70"/>
      <c r="QWK70" s="140"/>
      <c r="QWL70" s="149"/>
      <c r="QWM70"/>
      <c r="QWN70" s="142"/>
      <c r="QWO70" s="143"/>
      <c r="QWP70" s="144"/>
      <c r="QWQ70" s="144"/>
      <c r="QWR70" s="143"/>
      <c r="QWS70" s="145"/>
      <c r="QWT70" s="143"/>
      <c r="QWU70" s="145"/>
      <c r="QWV70" s="146"/>
      <c r="QWW70" s="147"/>
      <c r="QWX70"/>
      <c r="QWY70" s="148"/>
      <c r="QWZ70"/>
      <c r="QXA70" s="140"/>
      <c r="QXB70" s="149"/>
      <c r="QXC70"/>
      <c r="QXD70" s="142"/>
      <c r="QXE70" s="143"/>
      <c r="QXF70" s="144"/>
      <c r="QXG70" s="144"/>
      <c r="QXH70" s="143"/>
      <c r="QXI70" s="145"/>
      <c r="QXJ70" s="143"/>
      <c r="QXK70" s="145"/>
      <c r="QXL70" s="146"/>
      <c r="QXM70" s="147"/>
      <c r="QXN70"/>
      <c r="QXO70" s="148"/>
      <c r="QXP70"/>
      <c r="QXQ70" s="140"/>
      <c r="QXR70" s="149"/>
      <c r="QXS70"/>
      <c r="QXT70" s="142"/>
      <c r="QXU70" s="143"/>
      <c r="QXV70" s="144"/>
      <c r="QXW70" s="144"/>
      <c r="QXX70" s="143"/>
      <c r="QXY70" s="145"/>
      <c r="QXZ70" s="143"/>
      <c r="QYA70" s="145"/>
      <c r="QYB70" s="146"/>
      <c r="QYC70" s="147"/>
      <c r="QYD70"/>
      <c r="QYE70" s="148"/>
      <c r="QYF70"/>
      <c r="QYG70" s="140"/>
      <c r="QYH70" s="149"/>
      <c r="QYI70"/>
      <c r="QYJ70" s="142"/>
      <c r="QYK70" s="143"/>
      <c r="QYL70" s="144"/>
      <c r="QYM70" s="144"/>
      <c r="QYN70" s="143"/>
      <c r="QYO70" s="145"/>
      <c r="QYP70" s="143"/>
      <c r="QYQ70" s="145"/>
      <c r="QYR70" s="146"/>
      <c r="QYS70" s="147"/>
      <c r="QYT70"/>
      <c r="QYU70" s="148"/>
      <c r="QYV70"/>
      <c r="QYW70" s="140"/>
      <c r="QYX70" s="149"/>
      <c r="QYY70"/>
      <c r="QYZ70" s="142"/>
      <c r="QZA70" s="143"/>
      <c r="QZB70" s="144"/>
      <c r="QZC70" s="144"/>
      <c r="QZD70" s="143"/>
      <c r="QZE70" s="145"/>
      <c r="QZF70" s="143"/>
      <c r="QZG70" s="145"/>
      <c r="QZH70" s="146"/>
      <c r="QZI70" s="147"/>
      <c r="QZJ70"/>
      <c r="QZK70" s="148"/>
      <c r="QZL70"/>
      <c r="QZM70" s="140"/>
      <c r="QZN70" s="149"/>
      <c r="QZO70"/>
      <c r="QZP70" s="142"/>
      <c r="QZQ70" s="143"/>
      <c r="QZR70" s="144"/>
      <c r="QZS70" s="144"/>
      <c r="QZT70" s="143"/>
      <c r="QZU70" s="145"/>
      <c r="QZV70" s="143"/>
      <c r="QZW70" s="145"/>
      <c r="QZX70" s="146"/>
      <c r="QZY70" s="147"/>
      <c r="QZZ70"/>
      <c r="RAA70" s="148"/>
      <c r="RAB70"/>
      <c r="RAC70" s="140"/>
      <c r="RAD70" s="149"/>
      <c r="RAE70"/>
      <c r="RWX70" s="149"/>
      <c r="RWY70"/>
      <c r="RWZ70" s="142"/>
      <c r="RXA70" s="143"/>
      <c r="RXB70" s="144"/>
      <c r="RXC70" s="144"/>
      <c r="RXD70" s="143"/>
      <c r="RXE70" s="145"/>
      <c r="RXF70" s="143"/>
      <c r="RXG70" s="145"/>
      <c r="RXH70" s="146"/>
      <c r="RXI70" s="147"/>
      <c r="RXJ70"/>
      <c r="RXK70" s="148"/>
      <c r="RXL70"/>
      <c r="RXM70" s="140"/>
      <c r="RXN70" s="149"/>
      <c r="RXO70"/>
      <c r="RXP70" s="142"/>
      <c r="RXQ70" s="143"/>
      <c r="RXR70" s="144"/>
      <c r="RXS70" s="144"/>
      <c r="RXT70" s="143"/>
      <c r="RXU70" s="145"/>
      <c r="RXV70" s="143"/>
      <c r="RXW70" s="145"/>
      <c r="RXX70" s="146"/>
      <c r="RXY70" s="147"/>
      <c r="RXZ70"/>
      <c r="RYA70" s="148"/>
      <c r="RYB70"/>
      <c r="RYC70" s="140"/>
      <c r="RYD70" s="149"/>
      <c r="RYE70"/>
      <c r="RYF70" s="142"/>
      <c r="RYG70" s="143"/>
      <c r="RYH70" s="144"/>
      <c r="RYI70" s="144"/>
      <c r="RYJ70" s="143"/>
      <c r="RYK70" s="145"/>
      <c r="RYL70" s="143"/>
      <c r="RYM70" s="145"/>
      <c r="RYN70" s="146"/>
      <c r="RYO70" s="147"/>
      <c r="RYP70"/>
      <c r="RYQ70" s="148"/>
      <c r="RYR70"/>
      <c r="RYS70" s="140"/>
      <c r="RYT70" s="149"/>
      <c r="RYU70"/>
      <c r="RYV70" s="142"/>
      <c r="RYW70" s="143"/>
      <c r="RYX70" s="144"/>
      <c r="RYY70" s="144"/>
      <c r="RYZ70" s="143"/>
      <c r="RZA70" s="145"/>
      <c r="RZB70" s="143"/>
      <c r="RZC70" s="145"/>
      <c r="RZD70" s="146"/>
      <c r="RZE70" s="147"/>
      <c r="RZF70"/>
      <c r="RZG70" s="148"/>
      <c r="RZH70"/>
      <c r="RZI70" s="140"/>
      <c r="RZJ70" s="149"/>
      <c r="RZK70"/>
      <c r="RZL70" s="142"/>
      <c r="RZM70" s="143"/>
      <c r="RZN70" s="144"/>
      <c r="RZO70" s="144"/>
      <c r="RZP70" s="143"/>
      <c r="RZQ70" s="145"/>
      <c r="RZR70" s="143"/>
      <c r="RZS70" s="145"/>
      <c r="RZT70" s="146"/>
      <c r="RZU70" s="147"/>
      <c r="RZV70"/>
      <c r="RZW70" s="148"/>
      <c r="RZX70"/>
      <c r="RZY70" s="140"/>
      <c r="RZZ70" s="149"/>
      <c r="SAA70"/>
      <c r="SAB70" s="142"/>
      <c r="SAC70" s="143"/>
      <c r="SAD70" s="144"/>
      <c r="SAE70" s="144"/>
      <c r="SAF70" s="143"/>
      <c r="SAG70" s="145"/>
      <c r="SAH70" s="143"/>
      <c r="SAI70" s="145"/>
      <c r="SAJ70" s="146"/>
      <c r="SAK70" s="147"/>
      <c r="SAL70"/>
      <c r="SAM70" s="148"/>
      <c r="SAN70"/>
      <c r="SAO70" s="140"/>
      <c r="SAP70" s="149"/>
      <c r="SAQ70"/>
      <c r="SAR70" s="142"/>
      <c r="SAS70" s="143"/>
      <c r="SAT70" s="144"/>
      <c r="SAU70" s="144"/>
      <c r="SAV70" s="143"/>
      <c r="SAW70" s="145"/>
      <c r="SAX70" s="143"/>
      <c r="SAY70" s="145"/>
      <c r="SAZ70" s="146"/>
      <c r="SBA70" s="147"/>
      <c r="SBB70"/>
      <c r="SBC70" s="148"/>
      <c r="SBD70"/>
      <c r="SBE70" s="140"/>
      <c r="SBF70" s="149"/>
      <c r="SBG70"/>
      <c r="SBH70" s="142"/>
      <c r="SBI70" s="143"/>
      <c r="SBJ70" s="144"/>
      <c r="SBK70" s="144"/>
      <c r="SBL70" s="143"/>
      <c r="SBM70" s="145"/>
      <c r="SBN70" s="143"/>
      <c r="SBO70" s="145"/>
      <c r="SBP70" s="146"/>
      <c r="SBQ70" s="147"/>
      <c r="SBR70"/>
      <c r="SBS70" s="148"/>
      <c r="SBT70"/>
      <c r="SBU70" s="140"/>
      <c r="SBV70" s="149"/>
      <c r="SBW70"/>
      <c r="SBX70" s="142"/>
      <c r="SBY70" s="143"/>
      <c r="SBZ70" s="144"/>
      <c r="SCA70" s="144"/>
      <c r="SCB70" s="143"/>
      <c r="SCC70" s="145"/>
      <c r="SCD70" s="143"/>
      <c r="SCE70" s="145"/>
      <c r="SCF70" s="146"/>
      <c r="SCG70" s="147"/>
      <c r="SCH70"/>
      <c r="SCI70" s="148"/>
      <c r="SCJ70"/>
      <c r="SCK70" s="140"/>
      <c r="SCL70" s="149"/>
      <c r="SCM70"/>
      <c r="SCN70" s="142"/>
      <c r="SCO70" s="143"/>
      <c r="SCP70" s="144"/>
      <c r="SCQ70" s="144"/>
      <c r="SCR70" s="143"/>
      <c r="SCS70" s="145"/>
      <c r="SCT70" s="143"/>
      <c r="SCU70" s="145"/>
      <c r="SCV70" s="146"/>
      <c r="SCW70" s="147"/>
      <c r="SCX70"/>
      <c r="SCY70" s="148"/>
      <c r="SCZ70"/>
      <c r="SDA70" s="140"/>
      <c r="SDB70" s="149"/>
      <c r="SDC70"/>
      <c r="SDD70" s="142"/>
      <c r="SDE70" s="143"/>
      <c r="SDF70" s="144"/>
      <c r="SDG70" s="144"/>
      <c r="SDH70" s="143"/>
      <c r="SDI70" s="145"/>
      <c r="SDJ70" s="143"/>
      <c r="SDK70" s="145"/>
      <c r="SDL70" s="146"/>
      <c r="SDM70" s="147"/>
      <c r="SDN70"/>
      <c r="SDO70" s="148"/>
      <c r="SDP70"/>
      <c r="SDQ70" s="140"/>
      <c r="SDR70" s="149"/>
      <c r="SDS70"/>
      <c r="SDT70" s="142"/>
      <c r="SDU70" s="143"/>
      <c r="SDV70" s="144"/>
      <c r="SDW70" s="144"/>
      <c r="SDX70" s="143"/>
      <c r="SDY70" s="145"/>
      <c r="SDZ70" s="143"/>
      <c r="SEA70" s="145"/>
      <c r="SEB70" s="146"/>
      <c r="SEC70" s="147"/>
      <c r="SED70"/>
      <c r="SEE70" s="148"/>
      <c r="SEF70"/>
      <c r="SEG70" s="140"/>
      <c r="SEH70" s="149"/>
      <c r="SEI70"/>
      <c r="SEJ70" s="142"/>
      <c r="SEK70" s="143"/>
      <c r="SEL70" s="144"/>
      <c r="SEM70" s="144"/>
      <c r="SEN70" s="143"/>
      <c r="SEO70" s="145"/>
      <c r="SEP70" s="143"/>
      <c r="SEQ70" s="145"/>
      <c r="SER70" s="146"/>
      <c r="SES70" s="147"/>
      <c r="SET70"/>
      <c r="SEU70" s="148"/>
      <c r="SEV70"/>
      <c r="SEW70" s="140"/>
      <c r="SEX70" s="149"/>
      <c r="SEY70"/>
      <c r="SEZ70" s="142"/>
      <c r="SFA70" s="143"/>
      <c r="SFB70" s="144"/>
      <c r="SFC70" s="144"/>
      <c r="SFD70" s="143"/>
      <c r="SFE70" s="145"/>
      <c r="SFF70" s="143"/>
      <c r="SFG70" s="145"/>
      <c r="SFH70" s="146"/>
      <c r="SFI70" s="147"/>
      <c r="SFJ70"/>
      <c r="SFK70" s="148"/>
      <c r="SFL70"/>
      <c r="SFM70" s="140"/>
      <c r="SFN70" s="149"/>
      <c r="SFO70"/>
      <c r="SFP70" s="142"/>
      <c r="SFQ70" s="143"/>
      <c r="SFR70" s="144"/>
      <c r="SFS70" s="144"/>
      <c r="SFT70" s="143"/>
      <c r="SFU70" s="145"/>
      <c r="SFV70" s="143"/>
      <c r="SFW70" s="145"/>
      <c r="SFX70" s="146"/>
      <c r="SFY70" s="147"/>
      <c r="SFZ70"/>
      <c r="SGA70" s="148"/>
      <c r="SGB70"/>
      <c r="SGC70" s="140"/>
      <c r="SGD70" s="149"/>
      <c r="SGE70"/>
      <c r="SGF70" s="142"/>
      <c r="SGG70" s="143"/>
      <c r="SGH70" s="144"/>
      <c r="SGI70" s="144"/>
      <c r="SGJ70" s="143"/>
      <c r="SGK70" s="145"/>
      <c r="SGL70" s="143"/>
      <c r="SGM70" s="145"/>
      <c r="SGN70" s="146"/>
      <c r="SGO70" s="147"/>
      <c r="SGP70"/>
      <c r="SGQ70" s="148"/>
      <c r="SGR70"/>
      <c r="SGS70" s="140"/>
      <c r="SGT70" s="149"/>
      <c r="SGU70"/>
      <c r="SGV70" s="142"/>
      <c r="SGW70" s="143"/>
      <c r="SGX70" s="144"/>
      <c r="SGY70" s="144"/>
      <c r="SGZ70" s="143"/>
      <c r="SHA70" s="145"/>
      <c r="SHB70" s="143"/>
      <c r="SHC70" s="145"/>
      <c r="SHD70" s="146"/>
      <c r="SHE70" s="147"/>
      <c r="SHF70"/>
      <c r="SHG70" s="148"/>
      <c r="SHH70"/>
      <c r="SHI70" s="140"/>
      <c r="SHJ70" s="149"/>
      <c r="SHK70"/>
      <c r="SHL70" s="142"/>
      <c r="SHM70" s="143"/>
      <c r="SHN70" s="144"/>
      <c r="SHO70" s="144"/>
      <c r="SHP70" s="143"/>
      <c r="SHQ70" s="145"/>
      <c r="SHR70" s="143"/>
      <c r="SHS70" s="145"/>
      <c r="SHT70" s="146"/>
      <c r="SHU70" s="147"/>
      <c r="SHV70"/>
      <c r="SHW70" s="148"/>
      <c r="SHX70"/>
      <c r="SHY70" s="140"/>
      <c r="SHZ70" s="149"/>
      <c r="SIA70"/>
      <c r="SIB70" s="142"/>
      <c r="SIC70" s="143"/>
      <c r="SID70" s="144"/>
      <c r="SIE70" s="144"/>
      <c r="SIF70" s="143"/>
      <c r="SIG70" s="145"/>
      <c r="SIH70" s="143"/>
      <c r="SII70" s="145"/>
      <c r="SIJ70" s="146"/>
      <c r="SIK70" s="147"/>
      <c r="SIL70"/>
      <c r="SIM70" s="148"/>
      <c r="SIN70"/>
      <c r="SIO70" s="140"/>
      <c r="SIP70" s="149"/>
      <c r="SIQ70"/>
      <c r="SIR70" s="142"/>
      <c r="SIS70" s="143"/>
      <c r="SIT70" s="144"/>
      <c r="SIU70" s="144"/>
      <c r="SIV70" s="143"/>
      <c r="SIW70" s="145"/>
      <c r="SIX70" s="143"/>
      <c r="SIY70" s="145"/>
      <c r="SIZ70" s="146"/>
      <c r="SJA70" s="147"/>
      <c r="SJB70"/>
      <c r="SJC70" s="148"/>
      <c r="SJD70"/>
      <c r="SJE70" s="140"/>
      <c r="SJF70" s="149"/>
      <c r="SJG70"/>
      <c r="SJH70" s="142"/>
      <c r="SJI70" s="143"/>
      <c r="SJJ70" s="144"/>
      <c r="SJK70" s="144"/>
      <c r="SJL70" s="143"/>
      <c r="SJM70" s="145"/>
      <c r="SJN70" s="143"/>
      <c r="SJO70" s="145"/>
      <c r="SJP70" s="146"/>
      <c r="SJQ70" s="147"/>
      <c r="SJR70"/>
      <c r="SJS70" s="148"/>
      <c r="SJT70"/>
      <c r="SJU70" s="140"/>
      <c r="SJV70" s="149"/>
      <c r="SJW70"/>
      <c r="SJX70" s="142"/>
      <c r="SJY70" s="143"/>
      <c r="SJZ70" s="144"/>
      <c r="SKA70" s="144"/>
      <c r="SKB70" s="143"/>
      <c r="SKC70" s="145"/>
      <c r="SKD70" s="143"/>
      <c r="SKE70" s="145"/>
      <c r="SKF70" s="146"/>
      <c r="SKG70" s="147"/>
      <c r="SKH70"/>
      <c r="SKI70" s="148"/>
      <c r="SKJ70"/>
      <c r="SKK70" s="140"/>
      <c r="SKL70" s="149"/>
      <c r="SKM70"/>
      <c r="SKN70" s="142"/>
      <c r="SKO70" s="143"/>
      <c r="SKP70" s="144"/>
      <c r="SKQ70" s="144"/>
      <c r="SKR70" s="143"/>
      <c r="SKS70" s="145"/>
      <c r="SKT70" s="143"/>
      <c r="SKU70" s="145"/>
      <c r="SKV70" s="146"/>
      <c r="SKW70" s="147"/>
      <c r="SKX70"/>
      <c r="SKY70" s="148"/>
      <c r="SKZ70"/>
      <c r="SLA70" s="140"/>
      <c r="SLB70" s="149"/>
      <c r="SLC70"/>
      <c r="SLD70" s="142"/>
      <c r="SLE70" s="143"/>
      <c r="SLF70" s="144"/>
      <c r="SLG70" s="144"/>
      <c r="SLH70" s="143"/>
      <c r="SLI70" s="145"/>
      <c r="SLJ70" s="143"/>
      <c r="SLK70" s="145"/>
      <c r="SLL70" s="146"/>
      <c r="SLM70" s="147"/>
      <c r="SLN70"/>
      <c r="SLO70" s="148"/>
      <c r="SLP70"/>
      <c r="SLQ70" s="140"/>
      <c r="SLR70" s="149"/>
      <c r="SLS70"/>
      <c r="SLT70" s="142"/>
      <c r="SLU70" s="143"/>
      <c r="SLV70" s="144"/>
      <c r="SLW70" s="144"/>
      <c r="SLX70" s="143"/>
      <c r="SLY70" s="145"/>
      <c r="SLZ70" s="143"/>
      <c r="SMA70" s="145"/>
      <c r="SMB70" s="146"/>
      <c r="SMC70" s="147"/>
      <c r="SMD70"/>
      <c r="SME70" s="148"/>
      <c r="SMF70"/>
      <c r="SMG70" s="140"/>
      <c r="SMH70" s="149"/>
      <c r="SMI70"/>
      <c r="SMJ70" s="142"/>
      <c r="SMK70" s="143"/>
      <c r="SML70" s="144"/>
      <c r="SMM70" s="144"/>
      <c r="SMN70" s="143"/>
      <c r="SMO70" s="145"/>
      <c r="SMP70" s="143"/>
      <c r="SMQ70" s="145"/>
      <c r="SMR70" s="146"/>
      <c r="SMS70" s="147"/>
      <c r="SMT70"/>
      <c r="SMU70" s="148"/>
      <c r="SMV70"/>
      <c r="SMW70" s="140"/>
      <c r="SMX70" s="149"/>
      <c r="SMY70"/>
      <c r="SMZ70" s="142"/>
      <c r="SNA70" s="143"/>
      <c r="SNB70" s="144"/>
      <c r="SNC70" s="144"/>
      <c r="SND70" s="143"/>
      <c r="SNE70" s="145"/>
      <c r="SNF70" s="143"/>
      <c r="SNG70" s="145"/>
      <c r="SNH70" s="146"/>
      <c r="SNI70" s="147"/>
      <c r="SNJ70"/>
      <c r="SNK70" s="148"/>
      <c r="SNL70"/>
      <c r="SNM70" s="140"/>
      <c r="SNN70" s="149"/>
      <c r="SNO70"/>
      <c r="SNP70" s="142"/>
      <c r="SNQ70" s="143"/>
      <c r="SNR70" s="144"/>
      <c r="SNS70" s="144"/>
      <c r="SNT70" s="143"/>
      <c r="SNU70" s="145"/>
      <c r="SNV70" s="143"/>
      <c r="SNW70" s="145"/>
      <c r="SNX70" s="146"/>
      <c r="SNY70" s="147"/>
      <c r="SNZ70"/>
      <c r="SOA70" s="148"/>
      <c r="SOB70"/>
      <c r="SOC70" s="140"/>
      <c r="SOD70" s="149"/>
      <c r="SOE70"/>
      <c r="SOF70" s="142"/>
      <c r="SOG70" s="143"/>
      <c r="SOH70" s="144"/>
      <c r="SOI70" s="144"/>
      <c r="SOJ70" s="143"/>
      <c r="SOK70" s="145"/>
      <c r="SOL70" s="143"/>
      <c r="SOM70" s="145"/>
      <c r="SON70" s="146"/>
      <c r="SOO70" s="147"/>
      <c r="SOP70"/>
      <c r="SOQ70" s="148"/>
      <c r="SOR70"/>
      <c r="SOS70" s="140"/>
      <c r="SOT70" s="149"/>
      <c r="SOU70"/>
      <c r="SOV70" s="142"/>
      <c r="SOW70" s="143"/>
      <c r="SOX70" s="144"/>
      <c r="SOY70" s="144"/>
      <c r="SOZ70" s="143"/>
      <c r="SPA70" s="145"/>
      <c r="SPB70" s="143"/>
      <c r="SPC70" s="145"/>
      <c r="SPD70" s="146"/>
      <c r="SPE70" s="147"/>
      <c r="SPF70"/>
      <c r="SPG70" s="148"/>
      <c r="SPH70"/>
      <c r="SPI70" s="140"/>
      <c r="SPJ70" s="149"/>
      <c r="SPK70"/>
      <c r="SPL70" s="142"/>
      <c r="SPM70" s="143"/>
      <c r="SPN70" s="144"/>
      <c r="SPO70" s="144"/>
      <c r="SPP70" s="143"/>
      <c r="SPQ70" s="145"/>
      <c r="SPR70" s="143"/>
      <c r="SPS70" s="145"/>
      <c r="SPT70" s="146"/>
      <c r="SPU70" s="147"/>
      <c r="SPV70"/>
      <c r="SPW70" s="148"/>
      <c r="SPX70"/>
      <c r="SPY70" s="140"/>
      <c r="SPZ70" s="149"/>
      <c r="SQA70"/>
      <c r="SQB70" s="142"/>
      <c r="SQC70" s="143"/>
      <c r="SQD70" s="144"/>
      <c r="SQE70" s="144"/>
      <c r="SQF70" s="143"/>
      <c r="SQG70" s="145"/>
      <c r="SQH70" s="143"/>
      <c r="SQI70" s="145"/>
      <c r="SQJ70" s="146"/>
      <c r="SQK70" s="147"/>
      <c r="SQL70"/>
      <c r="SQM70" s="148"/>
      <c r="SQN70"/>
      <c r="SQO70" s="140"/>
      <c r="SQP70" s="149"/>
      <c r="SQQ70"/>
      <c r="SQR70" s="142"/>
      <c r="SQS70" s="143"/>
      <c r="SQT70" s="144"/>
      <c r="SQU70" s="144"/>
      <c r="SQV70" s="143"/>
      <c r="SQW70" s="145"/>
      <c r="SQX70" s="143"/>
      <c r="SQY70" s="145"/>
      <c r="SQZ70" s="146"/>
      <c r="SRA70" s="147"/>
      <c r="SRB70"/>
      <c r="SRC70" s="148"/>
      <c r="SRD70"/>
      <c r="SRE70" s="140"/>
      <c r="SRF70" s="149"/>
      <c r="SRG70"/>
      <c r="SRH70" s="142"/>
      <c r="SRI70" s="143"/>
      <c r="SRJ70" s="144"/>
      <c r="SRK70" s="144"/>
      <c r="SRL70" s="143"/>
      <c r="SRM70" s="145"/>
      <c r="SRN70" s="143"/>
      <c r="SRO70" s="145"/>
      <c r="SRP70" s="146"/>
      <c r="SRQ70" s="147"/>
      <c r="SRR70"/>
      <c r="SRS70" s="148"/>
      <c r="SRT70"/>
      <c r="SRU70" s="140"/>
      <c r="SRV70" s="149"/>
      <c r="SRW70"/>
      <c r="SRX70" s="142"/>
      <c r="SRY70" s="143"/>
      <c r="SRZ70" s="144"/>
      <c r="SSA70" s="144"/>
      <c r="SSB70" s="143"/>
      <c r="SSC70" s="145"/>
      <c r="SSD70" s="143"/>
      <c r="SSE70" s="145"/>
      <c r="SSF70" s="146"/>
      <c r="SSG70" s="147"/>
      <c r="SSH70"/>
      <c r="SSI70" s="148"/>
      <c r="SSJ70"/>
      <c r="SSK70" s="140"/>
      <c r="SSL70" s="149"/>
      <c r="SSM70"/>
      <c r="SSN70" s="142"/>
      <c r="SSO70" s="143"/>
      <c r="SSP70" s="144"/>
      <c r="SSQ70" s="144"/>
      <c r="SSR70" s="143"/>
      <c r="SSS70" s="145"/>
      <c r="SST70" s="143"/>
      <c r="SSU70" s="145"/>
      <c r="SSV70" s="146"/>
      <c r="SSW70" s="147"/>
      <c r="SSX70"/>
      <c r="SSY70" s="148"/>
      <c r="SSZ70"/>
      <c r="STA70" s="140"/>
      <c r="STB70" s="149"/>
      <c r="STC70"/>
      <c r="STD70" s="142"/>
      <c r="STE70" s="143"/>
      <c r="STF70" s="144"/>
      <c r="STG70" s="144"/>
      <c r="STH70" s="143"/>
      <c r="STI70" s="145"/>
      <c r="STJ70" s="143"/>
      <c r="STK70" s="145"/>
      <c r="STL70" s="146"/>
      <c r="STM70" s="147"/>
      <c r="STN70"/>
      <c r="STO70" s="148"/>
      <c r="STP70"/>
      <c r="STQ70" s="140"/>
      <c r="STR70" s="149"/>
      <c r="STS70"/>
      <c r="STT70" s="142"/>
      <c r="STU70" s="143"/>
      <c r="STV70" s="144"/>
      <c r="STW70" s="144"/>
      <c r="STX70" s="143"/>
      <c r="STY70" s="145"/>
      <c r="STZ70" s="143"/>
      <c r="SUA70" s="145"/>
      <c r="SUB70" s="146"/>
      <c r="SUC70" s="147"/>
      <c r="SUD70"/>
      <c r="SUE70" s="148"/>
      <c r="SUF70"/>
      <c r="SUG70" s="140"/>
      <c r="SUH70" s="149"/>
      <c r="SUI70"/>
      <c r="SUJ70" s="142"/>
      <c r="SUK70" s="143"/>
      <c r="SUL70" s="144"/>
      <c r="SUM70" s="144"/>
      <c r="SUN70" s="143"/>
      <c r="SUO70" s="145"/>
      <c r="SUP70" s="143"/>
      <c r="SUQ70" s="145"/>
      <c r="SUR70" s="146"/>
      <c r="SUS70" s="147"/>
      <c r="SUT70"/>
      <c r="SUU70" s="148"/>
      <c r="SUV70"/>
      <c r="SUW70" s="140"/>
      <c r="SUX70" s="149"/>
      <c r="SUY70"/>
      <c r="SUZ70" s="142"/>
      <c r="SVA70" s="143"/>
      <c r="SVB70" s="144"/>
      <c r="SVC70" s="144"/>
      <c r="SVD70" s="143"/>
      <c r="SVE70" s="145"/>
      <c r="SVF70" s="143"/>
      <c r="SVG70" s="145"/>
      <c r="SVH70" s="146"/>
      <c r="SVI70" s="147"/>
      <c r="SVJ70"/>
      <c r="SVK70" s="148"/>
      <c r="SVL70"/>
      <c r="SVM70" s="140"/>
      <c r="SVN70" s="149"/>
      <c r="SVO70"/>
      <c r="SVP70" s="142"/>
      <c r="SVQ70" s="143"/>
      <c r="SVR70" s="144"/>
      <c r="SVS70" s="144"/>
      <c r="SVT70" s="143"/>
      <c r="SVU70" s="145"/>
      <c r="SVV70" s="143"/>
      <c r="SVW70" s="145"/>
      <c r="SVX70" s="146"/>
      <c r="SVY70" s="147"/>
      <c r="SVZ70"/>
      <c r="SWA70" s="148"/>
      <c r="SWB70"/>
      <c r="SWC70" s="140"/>
      <c r="SWD70" s="149"/>
      <c r="SWE70"/>
      <c r="SWF70" s="142"/>
      <c r="SWG70" s="143"/>
      <c r="SWH70" s="144"/>
      <c r="SWI70" s="144"/>
      <c r="SWJ70" s="143"/>
      <c r="SWK70" s="145"/>
      <c r="SWL70" s="143"/>
      <c r="SWM70" s="145"/>
      <c r="SWN70" s="146"/>
      <c r="SWO70" s="147"/>
      <c r="SWP70"/>
      <c r="SWQ70" s="148"/>
      <c r="SWR70"/>
      <c r="SWS70" s="140"/>
      <c r="SWT70" s="149"/>
      <c r="SWU70"/>
      <c r="SWV70" s="142"/>
      <c r="SWW70" s="143"/>
      <c r="SWX70" s="144"/>
      <c r="SWY70" s="144"/>
      <c r="SWZ70" s="143"/>
      <c r="SXA70" s="145"/>
      <c r="SXB70" s="143"/>
      <c r="SXC70" s="145"/>
      <c r="SXD70" s="146"/>
      <c r="SXE70" s="147"/>
      <c r="SXF70"/>
      <c r="SXG70" s="148"/>
      <c r="SXH70"/>
      <c r="SXI70" s="140"/>
      <c r="SXJ70" s="149"/>
      <c r="SXK70"/>
      <c r="SXL70" s="142"/>
      <c r="SXM70" s="143"/>
      <c r="SXN70" s="144"/>
      <c r="SXO70" s="144"/>
      <c r="SXP70" s="143"/>
      <c r="SXQ70" s="145"/>
      <c r="SXR70" s="143"/>
      <c r="SXS70" s="145"/>
      <c r="SXT70" s="146"/>
      <c r="SXU70" s="147"/>
      <c r="SXV70"/>
      <c r="SXW70" s="148"/>
      <c r="SXX70"/>
      <c r="SXY70" s="140"/>
      <c r="SXZ70" s="149"/>
      <c r="SYA70"/>
      <c r="SYB70" s="142"/>
      <c r="SYC70" s="143"/>
      <c r="SYD70" s="144"/>
      <c r="SYE70" s="144"/>
      <c r="SYF70" s="143"/>
      <c r="SYG70" s="145"/>
      <c r="SYH70" s="143"/>
      <c r="SYI70" s="145"/>
      <c r="SYJ70" s="146"/>
      <c r="SYK70" s="147"/>
      <c r="SYL70"/>
      <c r="SYM70" s="148"/>
      <c r="SYN70"/>
      <c r="SYO70" s="140"/>
      <c r="SYP70" s="149"/>
      <c r="SYQ70"/>
      <c r="SYR70" s="142"/>
      <c r="SYS70" s="143"/>
      <c r="SYT70" s="144"/>
      <c r="SYU70" s="144"/>
      <c r="SYV70" s="143"/>
      <c r="SYW70" s="145"/>
      <c r="SYX70" s="143"/>
      <c r="SYY70" s="145"/>
      <c r="SYZ70" s="146"/>
      <c r="SZA70" s="147"/>
      <c r="SZB70"/>
      <c r="SZC70" s="148"/>
      <c r="SZD70"/>
      <c r="SZE70" s="140"/>
      <c r="SZF70" s="149"/>
      <c r="SZG70"/>
      <c r="SZH70" s="142"/>
      <c r="SZI70" s="143"/>
      <c r="SZJ70" s="144"/>
      <c r="SZK70" s="144"/>
      <c r="SZL70" s="143"/>
      <c r="SZM70" s="145"/>
      <c r="SZN70" s="143"/>
      <c r="SZO70" s="145"/>
      <c r="SZP70" s="146"/>
      <c r="SZQ70" s="147"/>
      <c r="SZR70"/>
      <c r="SZS70" s="148"/>
      <c r="SZT70"/>
      <c r="SZU70" s="140"/>
      <c r="SZV70" s="149"/>
      <c r="SZW70"/>
      <c r="SZX70" s="142"/>
      <c r="SZY70" s="143"/>
      <c r="SZZ70" s="144"/>
      <c r="TAA70" s="144"/>
      <c r="TAB70" s="143"/>
      <c r="TAC70" s="145"/>
      <c r="TAD70" s="143"/>
      <c r="TAE70" s="145"/>
      <c r="TAF70" s="146"/>
      <c r="TAG70" s="147"/>
      <c r="TAH70"/>
      <c r="TAI70" s="148"/>
      <c r="TAJ70"/>
      <c r="TAK70" s="140"/>
      <c r="TAL70" s="149"/>
      <c r="TAM70"/>
      <c r="TAN70" s="142"/>
      <c r="TAO70" s="143"/>
      <c r="TAP70" s="144"/>
      <c r="TAQ70" s="144"/>
      <c r="TAR70" s="143"/>
      <c r="TAS70" s="145"/>
      <c r="TAT70" s="143"/>
      <c r="TAU70" s="145"/>
      <c r="TAV70" s="146"/>
      <c r="TAW70" s="147"/>
      <c r="TAX70"/>
      <c r="TAY70" s="148"/>
      <c r="TAZ70"/>
      <c r="TBA70" s="140"/>
      <c r="TBB70" s="149"/>
      <c r="TBC70"/>
      <c r="TBD70" s="142"/>
      <c r="TBE70" s="143"/>
      <c r="TBF70" s="144"/>
      <c r="TBG70" s="144"/>
      <c r="TBH70" s="143"/>
      <c r="TBI70" s="145"/>
      <c r="TBJ70" s="143"/>
      <c r="TBK70" s="145"/>
      <c r="TBL70" s="146"/>
      <c r="TBM70" s="147"/>
      <c r="TBN70"/>
      <c r="TBO70" s="148"/>
      <c r="TBP70"/>
      <c r="TBQ70" s="140"/>
      <c r="TBR70" s="149"/>
      <c r="TBS70"/>
      <c r="TBT70" s="142"/>
      <c r="TBU70" s="143"/>
      <c r="TBV70" s="144"/>
      <c r="TBW70" s="144"/>
      <c r="TBX70" s="143"/>
      <c r="TBY70" s="145"/>
      <c r="TBZ70" s="143"/>
      <c r="TCA70" s="145"/>
      <c r="TCB70" s="146"/>
      <c r="TCC70" s="147"/>
      <c r="TCD70"/>
      <c r="TCE70" s="148"/>
      <c r="TCF70"/>
      <c r="TCG70" s="140"/>
      <c r="TCH70" s="149"/>
      <c r="TCI70"/>
      <c r="TCJ70" s="142"/>
      <c r="TCK70" s="143"/>
      <c r="TCL70" s="144"/>
      <c r="TCM70" s="144"/>
      <c r="TCN70" s="143"/>
      <c r="TCO70" s="145"/>
      <c r="TCP70" s="143"/>
      <c r="TCQ70" s="145"/>
      <c r="TCR70" s="146"/>
      <c r="TCS70" s="147"/>
      <c r="TCT70"/>
      <c r="TCU70" s="148"/>
      <c r="TCV70"/>
      <c r="TCW70" s="140"/>
      <c r="TCX70" s="149"/>
      <c r="TCY70"/>
      <c r="TCZ70" s="142"/>
      <c r="TDA70" s="143"/>
      <c r="TDB70" s="144"/>
      <c r="TDC70" s="144"/>
      <c r="TDD70" s="143"/>
      <c r="TDE70" s="145"/>
      <c r="TDF70" s="143"/>
      <c r="TDG70" s="145"/>
      <c r="TDH70" s="146"/>
      <c r="TDI70" s="147"/>
      <c r="TDJ70"/>
      <c r="TDK70" s="148"/>
      <c r="TDL70"/>
      <c r="TDM70" s="140"/>
      <c r="TDN70" s="149"/>
      <c r="TDO70"/>
      <c r="TDP70" s="142"/>
      <c r="TDQ70" s="143"/>
      <c r="TDR70" s="144"/>
      <c r="TDS70" s="144"/>
      <c r="TDT70" s="143"/>
      <c r="TDU70" s="145"/>
      <c r="TDV70" s="143"/>
      <c r="TDW70" s="145"/>
      <c r="TDX70" s="146"/>
      <c r="TDY70" s="147"/>
      <c r="TDZ70"/>
      <c r="TEA70" s="148"/>
      <c r="TEB70"/>
      <c r="TEC70" s="140"/>
      <c r="TED70" s="149"/>
      <c r="TEE70"/>
      <c r="TEF70" s="142"/>
      <c r="TEG70" s="143"/>
      <c r="TEH70" s="144"/>
      <c r="TEI70" s="144"/>
      <c r="TEJ70" s="143"/>
      <c r="TEK70" s="145"/>
      <c r="TEL70" s="143"/>
      <c r="TEM70" s="145"/>
      <c r="TEN70" s="146"/>
      <c r="TEO70" s="147"/>
      <c r="TEP70"/>
      <c r="TEQ70" s="148"/>
      <c r="TER70"/>
      <c r="TES70" s="140"/>
      <c r="TET70" s="149"/>
      <c r="TEU70"/>
      <c r="TEV70" s="142"/>
      <c r="TEW70" s="143"/>
      <c r="TEX70" s="144"/>
      <c r="TEY70" s="144"/>
      <c r="TEZ70" s="143"/>
      <c r="TFA70" s="145"/>
      <c r="TFB70" s="143"/>
      <c r="TFC70" s="145"/>
      <c r="TFD70" s="146"/>
      <c r="TFE70" s="147"/>
      <c r="TFF70"/>
      <c r="TFG70" s="148"/>
      <c r="TFH70"/>
      <c r="TFI70" s="140"/>
      <c r="TFJ70" s="149"/>
      <c r="TFK70"/>
      <c r="TFL70" s="142"/>
      <c r="TFM70" s="143"/>
      <c r="TFN70" s="144"/>
      <c r="TFO70" s="144"/>
      <c r="TFP70" s="143"/>
      <c r="TFQ70" s="145"/>
      <c r="TFR70" s="143"/>
      <c r="TFS70" s="145"/>
      <c r="TFT70" s="146"/>
      <c r="TFU70" s="147"/>
      <c r="TFV70"/>
      <c r="TFW70" s="148"/>
      <c r="TFX70"/>
      <c r="TFY70" s="140"/>
      <c r="TFZ70" s="149"/>
      <c r="TGA70"/>
      <c r="TGB70" s="142"/>
      <c r="TGC70" s="143"/>
      <c r="TGD70" s="144"/>
      <c r="TGE70" s="144"/>
      <c r="TGF70" s="143"/>
      <c r="TGG70" s="145"/>
      <c r="TGH70" s="143"/>
      <c r="TGI70" s="145"/>
      <c r="TGJ70" s="146"/>
      <c r="TGK70" s="147"/>
      <c r="TGL70"/>
      <c r="TGM70" s="148"/>
      <c r="TGN70"/>
      <c r="TGO70" s="140"/>
      <c r="TGP70" s="149"/>
      <c r="TGQ70"/>
      <c r="TGR70" s="142"/>
      <c r="TGS70" s="143"/>
      <c r="TGT70" s="144"/>
      <c r="TGU70" s="144"/>
      <c r="TGV70" s="143"/>
      <c r="TGW70" s="145"/>
      <c r="TGX70" s="143"/>
      <c r="TGY70" s="145"/>
      <c r="TGZ70" s="146"/>
      <c r="THA70" s="147"/>
      <c r="THB70"/>
      <c r="THC70" s="148"/>
      <c r="THD70"/>
      <c r="THE70" s="140"/>
      <c r="THF70" s="149"/>
      <c r="THG70"/>
      <c r="THH70" s="142"/>
      <c r="THI70" s="143"/>
      <c r="THJ70" s="144"/>
      <c r="THK70" s="144"/>
      <c r="THL70" s="143"/>
      <c r="THM70" s="145"/>
      <c r="THN70" s="143"/>
      <c r="THO70" s="145"/>
      <c r="THP70" s="146"/>
      <c r="THQ70" s="147"/>
      <c r="THR70"/>
      <c r="THS70" s="148"/>
      <c r="THT70"/>
      <c r="THU70" s="140"/>
      <c r="THV70" s="149"/>
      <c r="THW70"/>
      <c r="THX70" s="142"/>
      <c r="THY70" s="143"/>
      <c r="THZ70" s="144"/>
      <c r="TIA70" s="144"/>
      <c r="TIB70" s="143"/>
      <c r="TIC70" s="145"/>
      <c r="TID70" s="143"/>
      <c r="TIE70" s="145"/>
      <c r="TIF70" s="146"/>
      <c r="TIG70" s="147"/>
      <c r="TIH70"/>
      <c r="TII70" s="148"/>
      <c r="TIJ70"/>
      <c r="TIK70" s="140"/>
      <c r="TIL70" s="149"/>
      <c r="TIM70"/>
      <c r="TIN70" s="142"/>
      <c r="TIO70" s="143"/>
      <c r="TIP70" s="144"/>
      <c r="TIQ70" s="144"/>
      <c r="TIR70" s="143"/>
      <c r="TIS70" s="145"/>
      <c r="TIT70" s="143"/>
      <c r="TIU70" s="145"/>
      <c r="TIV70" s="146"/>
      <c r="TIW70" s="147"/>
      <c r="TIX70"/>
      <c r="TIY70" s="148"/>
      <c r="TIZ70"/>
      <c r="TJA70" s="140"/>
      <c r="TJB70" s="149"/>
      <c r="TJC70"/>
      <c r="TJD70" s="142"/>
      <c r="TJE70" s="143"/>
      <c r="TJF70" s="144"/>
      <c r="TJG70" s="144"/>
      <c r="TJH70" s="143"/>
      <c r="TJI70" s="145"/>
      <c r="TJJ70" s="143"/>
      <c r="TJK70" s="145"/>
      <c r="TJL70" s="146"/>
      <c r="TJM70" s="147"/>
      <c r="TJN70"/>
      <c r="TJO70" s="148"/>
      <c r="TJP70"/>
      <c r="TJQ70" s="140"/>
      <c r="TJR70" s="149"/>
      <c r="TJS70"/>
      <c r="TJT70" s="142"/>
      <c r="TJU70" s="143"/>
      <c r="TJV70" s="144"/>
      <c r="TJW70" s="144"/>
      <c r="TJX70" s="143"/>
      <c r="TJY70" s="145"/>
      <c r="TJZ70" s="143"/>
      <c r="TKA70" s="145"/>
      <c r="TKB70" s="146"/>
      <c r="TKC70" s="147"/>
      <c r="TKD70"/>
      <c r="TKE70" s="148"/>
      <c r="TKF70"/>
      <c r="TKG70" s="140"/>
      <c r="TKH70" s="149"/>
      <c r="TKI70"/>
      <c r="TKJ70" s="142"/>
      <c r="TKK70" s="143"/>
      <c r="TKL70" s="144"/>
      <c r="TKM70" s="144"/>
      <c r="TKN70" s="143"/>
      <c r="TKO70" s="145"/>
      <c r="TKP70" s="143"/>
      <c r="TKQ70" s="145"/>
      <c r="TKR70" s="146"/>
      <c r="TKS70" s="147"/>
      <c r="TKT70"/>
      <c r="TKU70" s="148"/>
      <c r="TKV70"/>
      <c r="TKW70" s="140"/>
      <c r="TKX70" s="149"/>
      <c r="TKY70"/>
      <c r="TKZ70" s="142"/>
      <c r="TLA70" s="143"/>
      <c r="TLB70" s="144"/>
      <c r="TLC70" s="144"/>
      <c r="TLD70" s="143"/>
      <c r="TLE70" s="145"/>
      <c r="TLF70" s="143"/>
      <c r="TLG70" s="145"/>
      <c r="TLH70" s="146"/>
      <c r="TLI70" s="147"/>
      <c r="TLJ70"/>
      <c r="TLK70" s="148"/>
      <c r="TLL70"/>
      <c r="TLM70" s="140"/>
      <c r="TLN70" s="149"/>
      <c r="TLO70"/>
      <c r="TLP70" s="142"/>
      <c r="TLQ70" s="143"/>
      <c r="TLR70" s="144"/>
      <c r="TLS70" s="144"/>
      <c r="TLT70" s="143"/>
      <c r="TLU70" s="145"/>
      <c r="TLV70" s="143"/>
      <c r="TLW70" s="145"/>
      <c r="TLX70" s="146"/>
      <c r="TLY70" s="147"/>
      <c r="TLZ70"/>
      <c r="TMA70" s="148"/>
      <c r="TMB70"/>
      <c r="TMC70" s="140"/>
      <c r="TMD70" s="149"/>
      <c r="TME70"/>
      <c r="TMF70" s="142"/>
      <c r="TMG70" s="143"/>
      <c r="TMH70" s="144"/>
      <c r="TMI70" s="144"/>
      <c r="TMJ70" s="143"/>
      <c r="TMK70" s="145"/>
      <c r="TML70" s="143"/>
      <c r="TMM70" s="145"/>
      <c r="TMN70" s="146"/>
      <c r="TMO70" s="147"/>
      <c r="TMP70"/>
      <c r="TMQ70" s="148"/>
      <c r="TMR70"/>
      <c r="TMS70" s="140"/>
      <c r="TMT70" s="149"/>
      <c r="TMU70"/>
      <c r="TMV70" s="142"/>
      <c r="TMW70" s="143"/>
      <c r="TMX70" s="144"/>
      <c r="TMY70" s="144"/>
      <c r="TMZ70" s="143"/>
      <c r="TNA70" s="145"/>
      <c r="TNB70" s="143"/>
      <c r="TNC70" s="145"/>
      <c r="TND70" s="146"/>
      <c r="TNE70" s="147"/>
      <c r="TNF70"/>
      <c r="TNG70" s="148"/>
      <c r="TNH70"/>
      <c r="TNI70" s="140"/>
      <c r="TNJ70" s="149"/>
      <c r="TNK70"/>
      <c r="TNL70" s="142"/>
      <c r="TNM70" s="143"/>
      <c r="TNN70" s="144"/>
      <c r="TNO70" s="144"/>
      <c r="TNP70" s="143"/>
      <c r="TNQ70" s="145"/>
      <c r="TNR70" s="143"/>
      <c r="TNS70" s="145"/>
      <c r="TNT70" s="146"/>
      <c r="TNU70" s="147"/>
      <c r="TNV70"/>
      <c r="TNW70" s="148"/>
      <c r="TNX70"/>
      <c r="TNY70" s="140"/>
      <c r="TNZ70" s="149"/>
      <c r="TOA70"/>
      <c r="TOB70" s="142"/>
      <c r="TOC70" s="143"/>
      <c r="TOD70" s="144"/>
      <c r="TOE70" s="144"/>
      <c r="TOF70" s="143"/>
      <c r="TOG70" s="145"/>
      <c r="TOH70" s="143"/>
      <c r="TOI70" s="145"/>
      <c r="TOJ70" s="146"/>
      <c r="TOK70" s="147"/>
      <c r="TOL70"/>
      <c r="TOM70" s="148"/>
      <c r="TON70"/>
      <c r="TOO70" s="140"/>
      <c r="TOP70" s="149"/>
      <c r="TOQ70"/>
      <c r="TOR70" s="142"/>
      <c r="TOS70" s="143"/>
      <c r="TOT70" s="144"/>
      <c r="TOU70" s="144"/>
      <c r="TOV70" s="143"/>
      <c r="TOW70" s="145"/>
      <c r="TOX70" s="143"/>
      <c r="TOY70" s="145"/>
      <c r="TOZ70" s="146"/>
      <c r="TPA70" s="147"/>
      <c r="TPB70"/>
      <c r="TPC70" s="148"/>
      <c r="TPD70"/>
      <c r="TPE70" s="140"/>
      <c r="TPF70" s="149"/>
      <c r="TPG70"/>
      <c r="TPH70" s="142"/>
      <c r="TPI70" s="143"/>
      <c r="TPJ70" s="144"/>
      <c r="TPK70" s="144"/>
      <c r="TPL70" s="143"/>
      <c r="TPM70" s="145"/>
      <c r="TPN70" s="143"/>
      <c r="TPO70" s="145"/>
      <c r="TPP70" s="146"/>
      <c r="TPQ70" s="147"/>
      <c r="TPR70"/>
      <c r="TPS70" s="148"/>
      <c r="TPT70"/>
      <c r="TPU70" s="140"/>
      <c r="TPV70" s="149"/>
      <c r="TPW70"/>
      <c r="TPX70" s="142"/>
      <c r="TPY70" s="143"/>
      <c r="TPZ70" s="144"/>
      <c r="TQA70" s="144"/>
      <c r="TQB70" s="143"/>
      <c r="TQC70" s="145"/>
      <c r="TQD70" s="143"/>
      <c r="TQE70" s="145"/>
      <c r="TQF70" s="146"/>
      <c r="TQG70" s="147"/>
      <c r="TQH70"/>
      <c r="TQI70" s="148"/>
      <c r="TQJ70"/>
      <c r="TQK70" s="140"/>
      <c r="TQL70" s="149"/>
      <c r="TQM70"/>
      <c r="TQN70" s="142"/>
      <c r="TQO70" s="143"/>
      <c r="TQP70" s="144"/>
      <c r="TQQ70" s="144"/>
      <c r="TQR70" s="143"/>
      <c r="TQS70" s="145"/>
      <c r="TQT70" s="143"/>
      <c r="TQU70" s="145"/>
      <c r="TQV70" s="146"/>
      <c r="TQW70" s="147"/>
      <c r="TQX70"/>
      <c r="TQY70" s="148"/>
      <c r="TQZ70"/>
      <c r="TRA70" s="140"/>
      <c r="TRB70" s="149"/>
      <c r="TRC70"/>
      <c r="TRD70" s="142"/>
      <c r="TRE70" s="143"/>
      <c r="TRF70" s="144"/>
      <c r="TRG70" s="144"/>
      <c r="TRH70" s="143"/>
      <c r="TRI70" s="145"/>
      <c r="TRJ70" s="143"/>
      <c r="TRK70" s="145"/>
      <c r="TRL70" s="146"/>
      <c r="TRM70" s="147"/>
      <c r="TRN70"/>
      <c r="TRO70" s="148"/>
      <c r="TRP70"/>
      <c r="TRQ70" s="140"/>
      <c r="TRR70" s="149"/>
      <c r="TRS70"/>
      <c r="TRT70" s="142"/>
      <c r="TRU70" s="143"/>
      <c r="TRV70" s="144"/>
      <c r="TRW70" s="144"/>
      <c r="TRX70" s="143"/>
      <c r="TRY70" s="145"/>
      <c r="TRZ70" s="143"/>
      <c r="TSA70" s="145"/>
      <c r="TSB70" s="146"/>
      <c r="TSC70" s="147"/>
      <c r="TSD70"/>
      <c r="TSE70" s="148"/>
      <c r="TSF70"/>
      <c r="TSG70" s="140"/>
      <c r="TSH70" s="149"/>
      <c r="TSI70"/>
      <c r="TSJ70" s="142"/>
      <c r="TSK70" s="143"/>
      <c r="TSL70" s="144"/>
      <c r="TSM70" s="144"/>
      <c r="TSN70" s="143"/>
      <c r="TSO70" s="145"/>
      <c r="TSP70" s="143"/>
      <c r="TSQ70" s="145"/>
      <c r="TSR70" s="146"/>
      <c r="TSS70" s="147"/>
      <c r="TST70"/>
      <c r="TSU70" s="148"/>
      <c r="TSV70"/>
      <c r="TSW70" s="140"/>
      <c r="TSX70" s="149"/>
      <c r="TSY70"/>
      <c r="TSZ70" s="142"/>
      <c r="TTA70" s="143"/>
      <c r="TTB70" s="144"/>
      <c r="TTC70" s="144"/>
      <c r="TTD70" s="143"/>
      <c r="TTE70" s="145"/>
      <c r="TTF70" s="143"/>
      <c r="TTG70" s="145"/>
      <c r="TTH70" s="146"/>
      <c r="TTI70" s="147"/>
      <c r="TTJ70"/>
      <c r="TTK70" s="148"/>
      <c r="TTL70"/>
      <c r="TTM70" s="140"/>
      <c r="TTN70" s="149"/>
      <c r="TTO70"/>
      <c r="TTP70" s="142"/>
      <c r="TTQ70" s="143"/>
      <c r="TTR70" s="144"/>
      <c r="TTS70" s="144"/>
      <c r="TTT70" s="143"/>
      <c r="TTU70" s="145"/>
      <c r="TTV70" s="143"/>
      <c r="TTW70" s="145"/>
      <c r="TTX70" s="146"/>
      <c r="TTY70" s="147"/>
      <c r="TTZ70"/>
      <c r="TUA70" s="148"/>
      <c r="TUB70"/>
      <c r="TUC70" s="140"/>
      <c r="TUD70" s="149"/>
      <c r="TUE70"/>
      <c r="TUF70" s="142"/>
      <c r="TUG70" s="143"/>
      <c r="TUH70" s="144"/>
      <c r="TUI70" s="144"/>
      <c r="TUJ70" s="143"/>
      <c r="TUK70" s="145"/>
      <c r="TUL70" s="143"/>
      <c r="TUM70" s="145"/>
      <c r="TUN70" s="146"/>
      <c r="TUO70" s="147"/>
      <c r="TUP70"/>
      <c r="TUQ70" s="148"/>
      <c r="TUR70"/>
      <c r="TUS70" s="140"/>
      <c r="TUT70" s="149"/>
      <c r="TUU70"/>
      <c r="TUV70" s="142"/>
      <c r="TUW70" s="143"/>
      <c r="TUX70" s="144"/>
      <c r="TUY70" s="144"/>
      <c r="TUZ70" s="143"/>
      <c r="TVA70" s="145"/>
      <c r="TVB70" s="143"/>
      <c r="TVC70" s="145"/>
      <c r="TVD70" s="146"/>
      <c r="TVE70" s="147"/>
      <c r="TVF70"/>
      <c r="TVG70" s="148"/>
      <c r="TVH70"/>
      <c r="TVI70" s="140"/>
      <c r="TVJ70" s="149"/>
      <c r="TVK70"/>
      <c r="TVL70" s="142"/>
      <c r="TVM70" s="143"/>
      <c r="TVN70" s="144"/>
      <c r="TVO70" s="144"/>
      <c r="TVP70" s="143"/>
      <c r="TVQ70" s="145"/>
      <c r="TVR70" s="143"/>
      <c r="TVS70" s="145"/>
      <c r="TVT70" s="146"/>
      <c r="TVU70" s="147"/>
      <c r="TVV70"/>
      <c r="TVW70" s="148"/>
      <c r="TVX70"/>
      <c r="TVY70" s="140"/>
      <c r="TVZ70" s="149"/>
      <c r="TWA70"/>
      <c r="TWB70" s="142"/>
      <c r="TWC70" s="143"/>
      <c r="TWD70" s="144"/>
      <c r="TWE70" s="144"/>
      <c r="TWF70" s="143"/>
      <c r="TWG70" s="145"/>
      <c r="TWH70" s="143"/>
      <c r="TWI70" s="145"/>
      <c r="TWJ70" s="146"/>
      <c r="TWK70" s="147"/>
      <c r="TWL70"/>
      <c r="TWM70" s="148"/>
      <c r="TWN70"/>
      <c r="TWO70" s="140"/>
      <c r="TWP70" s="149"/>
      <c r="TWQ70"/>
      <c r="TWR70" s="142"/>
      <c r="TWS70" s="143"/>
      <c r="TWT70" s="144"/>
      <c r="TWU70" s="144"/>
      <c r="TWV70" s="143"/>
      <c r="TWW70" s="145"/>
      <c r="TWX70" s="143"/>
      <c r="TWY70" s="145"/>
      <c r="TWZ70" s="146"/>
      <c r="TXA70" s="147"/>
      <c r="TXB70"/>
      <c r="TXC70" s="148"/>
      <c r="TXD70"/>
      <c r="TXE70" s="140"/>
      <c r="TXF70" s="149"/>
      <c r="TXG70"/>
      <c r="TXH70" s="142"/>
      <c r="TXI70" s="143"/>
      <c r="TXJ70" s="144"/>
      <c r="TXK70" s="144"/>
      <c r="TXL70" s="143"/>
      <c r="TXM70" s="145"/>
      <c r="TXN70" s="143"/>
      <c r="TXO70" s="145"/>
      <c r="TXP70" s="146"/>
      <c r="TXQ70" s="147"/>
      <c r="TXR70"/>
      <c r="TXS70" s="148"/>
      <c r="TXT70"/>
      <c r="TXU70" s="140"/>
      <c r="TXV70" s="149"/>
      <c r="TXW70"/>
      <c r="TXX70" s="142"/>
      <c r="TXY70" s="143"/>
      <c r="TXZ70" s="144"/>
      <c r="TYA70" s="144"/>
      <c r="TYB70" s="143"/>
      <c r="TYC70" s="145"/>
      <c r="TYD70" s="143"/>
      <c r="TYE70" s="145"/>
      <c r="TYF70" s="146"/>
      <c r="TYG70" s="147"/>
      <c r="TYH70"/>
      <c r="TYI70" s="148"/>
      <c r="TYJ70"/>
      <c r="TYK70" s="140"/>
      <c r="TYL70" s="149"/>
      <c r="TYM70"/>
      <c r="TYN70" s="142"/>
      <c r="TYO70" s="143"/>
      <c r="TYP70" s="144"/>
      <c r="TYQ70" s="144"/>
      <c r="TYR70" s="143"/>
      <c r="TYS70" s="145"/>
      <c r="TYT70" s="143"/>
      <c r="TYU70" s="145"/>
      <c r="TYV70" s="146"/>
      <c r="TYW70" s="147"/>
      <c r="TYX70"/>
      <c r="TYY70" s="148"/>
      <c r="TYZ70"/>
      <c r="TZA70" s="140"/>
      <c r="TZB70" s="149"/>
      <c r="TZC70"/>
      <c r="TZD70" s="142"/>
      <c r="TZE70" s="143"/>
      <c r="TZF70" s="144"/>
      <c r="TZG70" s="144"/>
      <c r="TZH70" s="143"/>
      <c r="TZI70" s="145"/>
      <c r="TZJ70" s="143"/>
      <c r="TZK70" s="145"/>
      <c r="TZL70" s="146"/>
      <c r="TZM70" s="147"/>
      <c r="TZN70"/>
      <c r="TZO70" s="148"/>
      <c r="TZP70"/>
      <c r="TZQ70" s="140"/>
      <c r="TZR70" s="149"/>
      <c r="TZS70"/>
      <c r="TZT70" s="142"/>
      <c r="TZU70" s="143"/>
      <c r="TZV70" s="144"/>
      <c r="TZW70" s="144"/>
      <c r="TZX70" s="143"/>
      <c r="TZY70" s="145"/>
      <c r="TZZ70" s="143"/>
      <c r="UAA70" s="145"/>
      <c r="UAB70" s="146"/>
      <c r="UAC70" s="147"/>
      <c r="UAD70"/>
      <c r="UAE70" s="148"/>
      <c r="UAF70"/>
      <c r="UAG70" s="140"/>
      <c r="UAH70" s="149"/>
      <c r="UAI70"/>
      <c r="UAJ70" s="142"/>
      <c r="UAK70" s="143"/>
      <c r="UAL70" s="144"/>
      <c r="UAM70" s="144"/>
      <c r="UAN70" s="143"/>
      <c r="UAO70" s="145"/>
      <c r="UAP70" s="143"/>
      <c r="UAQ70" s="145"/>
      <c r="UAR70" s="146"/>
      <c r="UAS70" s="147"/>
      <c r="UAT70"/>
      <c r="UAU70" s="148"/>
      <c r="UAV70"/>
      <c r="UAW70" s="140"/>
      <c r="UAX70" s="149"/>
      <c r="UAY70"/>
      <c r="UAZ70" s="142"/>
      <c r="UBA70" s="143"/>
      <c r="UBB70" s="144"/>
      <c r="UBC70" s="144"/>
      <c r="UBD70" s="143"/>
      <c r="UBE70" s="145"/>
      <c r="UBF70" s="143"/>
      <c r="UBG70" s="145"/>
      <c r="UBH70" s="146"/>
      <c r="UBI70" s="147"/>
      <c r="UBJ70"/>
      <c r="UBK70" s="148"/>
      <c r="UBL70"/>
      <c r="UBM70" s="140"/>
      <c r="UBN70" s="149"/>
      <c r="UBO70"/>
      <c r="UBP70" s="142"/>
      <c r="UBQ70" s="143"/>
      <c r="UBR70" s="144"/>
      <c r="UBS70" s="144"/>
      <c r="UBT70" s="143"/>
      <c r="UBU70" s="145"/>
      <c r="UBV70" s="143"/>
      <c r="UBW70" s="145"/>
      <c r="UBX70" s="146"/>
      <c r="UBY70" s="147"/>
      <c r="UBZ70"/>
      <c r="UCA70" s="148"/>
      <c r="UCB70"/>
      <c r="UCC70" s="140"/>
      <c r="UCD70" s="149"/>
      <c r="UCE70"/>
      <c r="UCF70" s="142"/>
      <c r="UCG70" s="143"/>
      <c r="UCH70" s="144"/>
      <c r="UCI70" s="144"/>
      <c r="UCJ70" s="143"/>
      <c r="UCK70" s="145"/>
      <c r="UCL70" s="143"/>
      <c r="UCM70" s="145"/>
      <c r="UCN70" s="146"/>
      <c r="UCO70" s="147"/>
      <c r="UCP70"/>
      <c r="UCQ70" s="148"/>
      <c r="UCR70"/>
      <c r="UCS70" s="140"/>
      <c r="UCT70" s="149"/>
      <c r="UCU70"/>
      <c r="UCV70" s="142"/>
      <c r="UCW70" s="143"/>
      <c r="UCX70" s="144"/>
      <c r="UCY70" s="144"/>
      <c r="UCZ70" s="143"/>
      <c r="UDA70" s="145"/>
      <c r="UDB70" s="143"/>
      <c r="UDC70" s="145"/>
      <c r="UDD70" s="146"/>
      <c r="UDE70" s="147"/>
      <c r="UDF70"/>
      <c r="UDG70" s="148"/>
      <c r="UDH70"/>
      <c r="UDI70" s="140"/>
      <c r="UDJ70" s="149"/>
      <c r="UDK70"/>
      <c r="UDL70" s="142"/>
      <c r="UDM70" s="143"/>
      <c r="UDN70" s="144"/>
      <c r="UDO70" s="144"/>
      <c r="UDP70" s="143"/>
      <c r="UDQ70" s="145"/>
      <c r="UDR70" s="143"/>
      <c r="UDS70" s="145"/>
      <c r="UDT70" s="146"/>
      <c r="UDU70" s="147"/>
      <c r="UDV70"/>
      <c r="UDW70" s="148"/>
      <c r="UDX70"/>
      <c r="UDY70" s="140"/>
      <c r="UDZ70" s="149"/>
      <c r="UEA70"/>
      <c r="UEB70" s="142"/>
      <c r="UEC70" s="143"/>
      <c r="UED70" s="144"/>
      <c r="UEE70" s="144"/>
      <c r="UEF70" s="143"/>
      <c r="UEG70" s="145"/>
      <c r="UEH70" s="143"/>
      <c r="UEI70" s="145"/>
      <c r="UEJ70" s="146"/>
      <c r="UEK70" s="147"/>
      <c r="UEL70"/>
      <c r="UEM70" s="148"/>
      <c r="UEN70"/>
      <c r="UEO70" s="140"/>
      <c r="UEP70" s="149"/>
      <c r="UEQ70"/>
      <c r="UER70" s="142"/>
      <c r="UES70" s="143"/>
      <c r="UET70" s="144"/>
      <c r="UEU70" s="144"/>
      <c r="UEV70" s="143"/>
      <c r="UEW70" s="145"/>
      <c r="UEX70" s="143"/>
      <c r="UEY70" s="145"/>
      <c r="UEZ70" s="146"/>
      <c r="UFA70" s="147"/>
      <c r="UFB70"/>
      <c r="UFC70" s="148"/>
      <c r="UFD70"/>
      <c r="UFE70" s="140"/>
      <c r="UFF70" s="149"/>
      <c r="UFG70"/>
      <c r="UFH70" s="142"/>
      <c r="UFI70" s="143"/>
      <c r="UFJ70" s="144"/>
      <c r="UFK70" s="144"/>
      <c r="UFL70" s="143"/>
      <c r="UFM70" s="145"/>
      <c r="UFN70" s="143"/>
      <c r="UFO70" s="145"/>
      <c r="UFP70" s="146"/>
      <c r="UFQ70" s="147"/>
      <c r="UFR70"/>
      <c r="UFS70" s="148"/>
      <c r="UFT70"/>
      <c r="UFU70" s="140"/>
      <c r="UFV70" s="149"/>
      <c r="UFW70"/>
      <c r="UFX70" s="142"/>
      <c r="UFY70" s="143"/>
      <c r="UFZ70" s="144"/>
      <c r="UGA70" s="144"/>
      <c r="UGB70" s="143"/>
      <c r="UGC70" s="145"/>
      <c r="UGD70" s="143"/>
      <c r="UGE70" s="145"/>
      <c r="UGF70" s="146"/>
      <c r="UGG70" s="147"/>
      <c r="UGH70"/>
      <c r="UGI70" s="148"/>
      <c r="UGJ70"/>
      <c r="UGK70" s="140"/>
      <c r="UGL70" s="149"/>
      <c r="UGM70"/>
      <c r="UGN70" s="142"/>
      <c r="UGO70" s="143"/>
      <c r="UGP70" s="144"/>
      <c r="UGQ70" s="144"/>
      <c r="UGR70" s="143"/>
      <c r="UGS70" s="145"/>
      <c r="UGT70" s="143"/>
      <c r="UGU70" s="145"/>
      <c r="UGV70" s="146"/>
      <c r="UGW70" s="147"/>
      <c r="UGX70"/>
      <c r="UGY70" s="148"/>
      <c r="UGZ70"/>
      <c r="UHA70" s="140"/>
      <c r="UHB70" s="149"/>
      <c r="UHC70"/>
      <c r="UHD70" s="142"/>
      <c r="UHE70" s="143"/>
      <c r="UHF70" s="144"/>
      <c r="UHG70" s="144"/>
      <c r="UHH70" s="143"/>
      <c r="UHI70" s="145"/>
      <c r="UHJ70" s="143"/>
      <c r="UHK70" s="145"/>
      <c r="UHL70" s="146"/>
      <c r="UHM70" s="147"/>
      <c r="UHN70"/>
      <c r="UHO70" s="148"/>
      <c r="UHP70"/>
      <c r="UHQ70" s="140"/>
      <c r="UHR70" s="149"/>
      <c r="UHS70"/>
      <c r="UHT70" s="142"/>
      <c r="UHU70" s="143"/>
      <c r="UHV70" s="144"/>
      <c r="UHW70" s="144"/>
      <c r="UHX70" s="143"/>
      <c r="UHY70" s="145"/>
      <c r="UHZ70" s="143"/>
      <c r="UIA70" s="145"/>
      <c r="UIB70" s="146"/>
      <c r="UIC70" s="147"/>
      <c r="UID70"/>
      <c r="UIE70" s="148"/>
      <c r="UIF70"/>
      <c r="UIG70" s="140"/>
      <c r="UIH70" s="149"/>
      <c r="UII70"/>
      <c r="UIJ70" s="142"/>
      <c r="UIK70" s="143"/>
      <c r="UIL70" s="144"/>
      <c r="UIM70" s="144"/>
      <c r="UIN70" s="143"/>
      <c r="UIO70" s="145"/>
      <c r="UIP70" s="143"/>
      <c r="UIQ70" s="145"/>
      <c r="UIR70" s="146"/>
      <c r="UIS70" s="147"/>
      <c r="UIT70"/>
      <c r="UIU70" s="148"/>
      <c r="UIV70"/>
      <c r="UIW70" s="140"/>
      <c r="UIX70" s="149"/>
      <c r="UIY70"/>
      <c r="UIZ70" s="142"/>
      <c r="UJA70" s="143"/>
      <c r="UJB70" s="144"/>
      <c r="UJC70" s="144"/>
      <c r="UJD70" s="143"/>
      <c r="UJE70" s="145"/>
      <c r="UJF70" s="143"/>
      <c r="UJG70" s="145"/>
      <c r="UJH70" s="146"/>
      <c r="UJI70" s="147"/>
      <c r="UJJ70"/>
      <c r="UJK70" s="148"/>
      <c r="UJL70"/>
      <c r="UJM70" s="140"/>
      <c r="UJN70" s="149"/>
      <c r="UJO70"/>
      <c r="UJP70" s="142"/>
      <c r="UJQ70" s="143"/>
      <c r="UJR70" s="144"/>
      <c r="UJS70" s="144"/>
      <c r="UJT70" s="143"/>
      <c r="UJU70" s="145"/>
      <c r="UJV70" s="143"/>
      <c r="UJW70" s="145"/>
      <c r="UJX70" s="146"/>
      <c r="UJY70" s="147"/>
      <c r="UJZ70"/>
      <c r="UKA70" s="148"/>
      <c r="UKB70"/>
      <c r="UKC70" s="140"/>
      <c r="UKD70" s="149"/>
      <c r="UKE70"/>
      <c r="UKF70" s="142"/>
      <c r="UKG70" s="143"/>
      <c r="UKH70" s="144"/>
      <c r="UKI70" s="144"/>
      <c r="UKJ70" s="143"/>
      <c r="UKK70" s="145"/>
      <c r="UKL70" s="143"/>
      <c r="UKM70" s="145"/>
      <c r="UKN70" s="146"/>
      <c r="UKO70" s="147"/>
      <c r="UKP70"/>
      <c r="UKQ70" s="148"/>
      <c r="UKR70"/>
      <c r="UKS70" s="140"/>
      <c r="UKT70" s="149"/>
      <c r="UKU70"/>
      <c r="UKV70" s="142"/>
      <c r="UKW70" s="143"/>
      <c r="UKX70" s="144"/>
      <c r="UKY70" s="144"/>
      <c r="UKZ70" s="143"/>
      <c r="ULA70" s="145"/>
      <c r="ULB70" s="143"/>
      <c r="ULC70" s="145"/>
      <c r="ULD70" s="146"/>
      <c r="ULE70" s="147"/>
      <c r="ULF70"/>
      <c r="ULG70" s="148"/>
      <c r="ULH70"/>
      <c r="ULI70" s="140"/>
      <c r="ULJ70" s="149"/>
      <c r="ULK70"/>
      <c r="ULL70" s="142"/>
      <c r="ULM70" s="143"/>
      <c r="ULN70" s="144"/>
      <c r="ULO70" s="144"/>
      <c r="ULP70" s="143"/>
      <c r="ULQ70" s="145"/>
      <c r="ULR70" s="143"/>
      <c r="ULS70" s="145"/>
      <c r="ULT70" s="146"/>
      <c r="ULU70" s="147"/>
      <c r="ULV70"/>
      <c r="ULW70" s="148"/>
      <c r="ULX70"/>
      <c r="ULY70" s="140"/>
      <c r="ULZ70" s="149"/>
      <c r="UMA70"/>
      <c r="UMB70" s="142"/>
      <c r="UMC70" s="143"/>
      <c r="UMD70" s="144"/>
      <c r="UME70" s="144"/>
      <c r="UMF70" s="143"/>
      <c r="UMG70" s="145"/>
      <c r="UMH70" s="143"/>
      <c r="UMI70" s="145"/>
      <c r="UMJ70" s="146"/>
      <c r="UMK70" s="147"/>
      <c r="UML70"/>
      <c r="UMM70" s="148"/>
      <c r="UMN70"/>
      <c r="UMO70" s="140"/>
      <c r="UMP70" s="149"/>
      <c r="UMQ70"/>
      <c r="UMR70" s="142"/>
      <c r="UMS70" s="143"/>
      <c r="UMT70" s="144"/>
      <c r="UMU70" s="144"/>
      <c r="UMV70" s="143"/>
      <c r="UMW70" s="145"/>
      <c r="UMX70" s="143"/>
      <c r="UMY70" s="145"/>
      <c r="UMZ70" s="146"/>
      <c r="UNA70" s="147"/>
      <c r="UNB70"/>
      <c r="UNC70" s="148"/>
      <c r="UND70"/>
      <c r="UNE70" s="140"/>
      <c r="UNF70" s="149"/>
      <c r="UNG70"/>
      <c r="UNH70" s="142"/>
      <c r="UNI70" s="143"/>
      <c r="UNJ70" s="144"/>
      <c r="UNK70" s="144"/>
      <c r="UNL70" s="143"/>
      <c r="UNM70" s="145"/>
      <c r="UNN70" s="143"/>
      <c r="UNO70" s="145"/>
      <c r="UNP70" s="146"/>
      <c r="UNQ70" s="147"/>
      <c r="UNR70"/>
      <c r="UNS70" s="148"/>
      <c r="UNT70"/>
      <c r="UNU70" s="140"/>
      <c r="UNV70" s="149"/>
      <c r="UNW70"/>
      <c r="UNX70" s="142"/>
      <c r="UNY70" s="143"/>
      <c r="UNZ70" s="144"/>
      <c r="UOA70" s="144"/>
      <c r="UOB70" s="143"/>
      <c r="UOC70" s="145"/>
      <c r="UOD70" s="143"/>
      <c r="UOE70" s="145"/>
      <c r="UOF70" s="146"/>
      <c r="UOG70" s="147"/>
      <c r="UOH70"/>
      <c r="UOI70" s="148"/>
      <c r="UOJ70"/>
      <c r="UOK70" s="140"/>
      <c r="UOL70" s="149"/>
      <c r="UOM70"/>
      <c r="UON70" s="142"/>
      <c r="UOO70" s="143"/>
      <c r="UOP70" s="144"/>
      <c r="UOQ70" s="144"/>
      <c r="UOR70" s="143"/>
      <c r="UOS70" s="145"/>
      <c r="UOT70" s="143"/>
      <c r="UOU70" s="145"/>
      <c r="UOV70" s="146"/>
      <c r="UOW70" s="147"/>
      <c r="UOX70"/>
      <c r="UOY70" s="148"/>
      <c r="UOZ70"/>
      <c r="UPA70" s="140"/>
      <c r="UPB70" s="149"/>
      <c r="UPC70"/>
      <c r="UPD70" s="142"/>
      <c r="UPE70" s="143"/>
      <c r="UPF70" s="144"/>
      <c r="UPG70" s="144"/>
      <c r="UPH70" s="143"/>
      <c r="UPI70" s="145"/>
      <c r="UPJ70" s="143"/>
      <c r="UPK70" s="145"/>
      <c r="UPL70" s="146"/>
      <c r="UPM70" s="147"/>
      <c r="UPN70"/>
      <c r="UPO70" s="148"/>
      <c r="UPP70"/>
      <c r="UPQ70" s="140"/>
      <c r="UPR70" s="149"/>
      <c r="UPS70"/>
      <c r="UPT70" s="142"/>
      <c r="UPU70" s="143"/>
      <c r="UPV70" s="144"/>
      <c r="UPW70" s="144"/>
      <c r="UPX70" s="143"/>
      <c r="UPY70" s="145"/>
      <c r="UPZ70" s="143"/>
      <c r="UQA70" s="145"/>
      <c r="UQB70" s="146"/>
      <c r="UQC70" s="147"/>
      <c r="UQD70"/>
      <c r="UQE70" s="148"/>
      <c r="UQF70"/>
      <c r="UQG70" s="140"/>
      <c r="UQH70" s="149"/>
      <c r="UQI70"/>
      <c r="UQJ70" s="142"/>
      <c r="UQK70" s="143"/>
      <c r="UQL70" s="144"/>
      <c r="UQM70" s="144"/>
      <c r="UQN70" s="143"/>
      <c r="UQO70" s="145"/>
      <c r="UQP70" s="143"/>
      <c r="UQQ70" s="145"/>
      <c r="UQR70" s="146"/>
      <c r="UQS70" s="147"/>
      <c r="UQT70"/>
      <c r="UQU70" s="148"/>
      <c r="UQV70"/>
      <c r="UQW70" s="140"/>
      <c r="UQX70" s="149"/>
      <c r="UQY70"/>
      <c r="UQZ70" s="142"/>
      <c r="URA70" s="143"/>
      <c r="URB70" s="144"/>
      <c r="URC70" s="144"/>
      <c r="URD70" s="143"/>
      <c r="URE70" s="145"/>
      <c r="URF70" s="143"/>
      <c r="URG70" s="145"/>
      <c r="URH70" s="146"/>
      <c r="URI70" s="147"/>
      <c r="URJ70"/>
      <c r="URK70" s="148"/>
      <c r="URL70"/>
      <c r="URM70" s="140"/>
      <c r="URN70" s="149"/>
      <c r="URO70"/>
      <c r="URP70" s="142"/>
      <c r="URQ70" s="143"/>
      <c r="URR70" s="144"/>
      <c r="URS70" s="144"/>
      <c r="URT70" s="143"/>
      <c r="URU70" s="145"/>
      <c r="URV70" s="143"/>
      <c r="URW70" s="145"/>
      <c r="URX70" s="146"/>
      <c r="URY70" s="147"/>
      <c r="URZ70"/>
      <c r="USA70" s="148"/>
      <c r="USB70"/>
      <c r="USC70" s="140"/>
      <c r="USD70" s="149"/>
      <c r="USE70"/>
      <c r="USF70" s="142"/>
      <c r="USG70" s="143"/>
      <c r="USH70" s="144"/>
      <c r="USI70" s="144"/>
      <c r="USJ70" s="143"/>
      <c r="USK70" s="145"/>
      <c r="USL70" s="143"/>
      <c r="USM70" s="145"/>
      <c r="USN70" s="146"/>
      <c r="USO70" s="147"/>
      <c r="USP70"/>
      <c r="USQ70" s="148"/>
      <c r="USR70"/>
      <c r="USS70" s="140"/>
      <c r="UST70" s="149"/>
      <c r="USU70"/>
      <c r="USV70" s="142"/>
      <c r="USW70" s="143"/>
      <c r="USX70" s="144"/>
      <c r="USY70" s="144"/>
      <c r="USZ70" s="143"/>
      <c r="UTA70" s="145"/>
      <c r="UTB70" s="143"/>
      <c r="UTC70" s="145"/>
      <c r="UTD70" s="146"/>
      <c r="UTE70" s="147"/>
      <c r="UTF70"/>
      <c r="UTG70" s="148"/>
      <c r="UTH70"/>
      <c r="UTI70" s="140"/>
      <c r="UTJ70" s="149"/>
      <c r="UTK70"/>
      <c r="UTL70" s="142"/>
      <c r="UTM70" s="143"/>
      <c r="UTN70" s="144"/>
      <c r="UTO70" s="144"/>
      <c r="UTP70" s="143"/>
      <c r="UTQ70" s="145"/>
      <c r="UTR70" s="143"/>
      <c r="UTS70" s="145"/>
      <c r="UTT70" s="146"/>
      <c r="UTU70" s="147"/>
      <c r="UTV70"/>
      <c r="UTW70" s="148"/>
      <c r="UTX70"/>
      <c r="UTY70" s="140"/>
      <c r="UTZ70" s="149"/>
      <c r="UUA70"/>
      <c r="UUB70" s="142"/>
      <c r="UUC70" s="143"/>
      <c r="UUD70" s="144"/>
      <c r="UUE70" s="144"/>
      <c r="UUF70" s="143"/>
      <c r="UUG70" s="145"/>
      <c r="UUH70" s="143"/>
      <c r="UUI70" s="145"/>
      <c r="UUJ70" s="146"/>
      <c r="UUK70" s="147"/>
      <c r="UUL70"/>
      <c r="UUM70" s="148"/>
      <c r="UUN70"/>
      <c r="UUO70" s="140"/>
      <c r="UUP70" s="149"/>
      <c r="UUQ70"/>
      <c r="UUR70" s="142"/>
      <c r="UUS70" s="143"/>
      <c r="UUT70" s="144"/>
      <c r="UUU70" s="144"/>
      <c r="UUV70" s="143"/>
      <c r="UUW70" s="145"/>
      <c r="UUX70" s="143"/>
      <c r="UUY70" s="145"/>
      <c r="UUZ70" s="146"/>
      <c r="UVA70" s="147"/>
      <c r="UVB70"/>
      <c r="UVC70" s="148"/>
      <c r="UVD70"/>
      <c r="UVE70" s="140"/>
      <c r="UVF70" s="149"/>
      <c r="UVG70"/>
      <c r="UVH70" s="142"/>
      <c r="UVI70" s="143"/>
      <c r="UVJ70" s="144"/>
      <c r="UVK70" s="144"/>
      <c r="UVL70" s="143"/>
      <c r="UVM70" s="145"/>
      <c r="UVN70" s="143"/>
      <c r="UVO70" s="145"/>
      <c r="UVP70" s="146"/>
      <c r="UVQ70" s="147"/>
      <c r="UVR70"/>
      <c r="UVS70" s="148"/>
      <c r="UVT70"/>
      <c r="UVU70" s="140"/>
      <c r="UVV70" s="149"/>
      <c r="UVW70"/>
      <c r="UVX70" s="142"/>
      <c r="UVY70" s="143"/>
      <c r="UVZ70" s="144"/>
      <c r="UWA70" s="144"/>
      <c r="UWB70" s="143"/>
      <c r="UWC70" s="145"/>
      <c r="UWD70" s="143"/>
      <c r="UWE70" s="145"/>
      <c r="UWF70" s="146"/>
      <c r="UWG70" s="147"/>
      <c r="UWH70"/>
      <c r="UWI70" s="148"/>
      <c r="UWJ70"/>
      <c r="UWK70" s="140"/>
      <c r="UWL70" s="149"/>
      <c r="UWM70"/>
      <c r="UWN70" s="142"/>
      <c r="UWO70" s="143"/>
      <c r="UWP70" s="144"/>
      <c r="UWQ70" s="144"/>
      <c r="UWR70" s="143"/>
      <c r="UWS70" s="145"/>
      <c r="UWT70" s="143"/>
      <c r="UWU70" s="145"/>
      <c r="UWV70" s="146"/>
      <c r="UWW70" s="147"/>
      <c r="UWX70"/>
      <c r="UWY70" s="148"/>
      <c r="UWZ70"/>
      <c r="UXA70" s="140"/>
      <c r="UXB70" s="149"/>
      <c r="UXC70"/>
      <c r="UXD70" s="142"/>
      <c r="UXE70" s="143"/>
      <c r="UXF70" s="144"/>
      <c r="UXG70" s="144"/>
      <c r="UXH70" s="143"/>
      <c r="UXI70" s="145"/>
      <c r="UXJ70" s="143"/>
      <c r="UXK70" s="145"/>
      <c r="UXL70" s="146"/>
      <c r="UXM70" s="147"/>
      <c r="UXN70"/>
      <c r="UXO70" s="148"/>
      <c r="UXP70"/>
      <c r="UXQ70" s="140"/>
      <c r="UXR70" s="149"/>
      <c r="UXS70"/>
      <c r="UXT70" s="142"/>
      <c r="UXU70" s="143"/>
      <c r="UXV70" s="144"/>
      <c r="UXW70" s="144"/>
      <c r="UXX70" s="143"/>
      <c r="UXY70" s="145"/>
      <c r="UXZ70" s="143"/>
      <c r="UYA70" s="145"/>
      <c r="UYB70" s="146"/>
      <c r="UYC70" s="147"/>
      <c r="UYD70"/>
      <c r="UYE70" s="148"/>
      <c r="UYF70"/>
      <c r="UYG70" s="140"/>
      <c r="UYH70" s="149"/>
      <c r="UYI70"/>
      <c r="UYJ70" s="142"/>
      <c r="UYK70" s="143"/>
      <c r="UYL70" s="144"/>
      <c r="UYM70" s="144"/>
      <c r="UYN70" s="143"/>
      <c r="UYO70" s="145"/>
      <c r="UYP70" s="143"/>
      <c r="UYQ70" s="145"/>
      <c r="UYR70" s="146"/>
      <c r="UYS70" s="147"/>
      <c r="UYT70"/>
      <c r="UYU70" s="148"/>
      <c r="UYV70"/>
      <c r="UYW70" s="140"/>
      <c r="UYX70" s="149"/>
      <c r="UYY70"/>
      <c r="UYZ70" s="142"/>
      <c r="UZA70" s="143"/>
      <c r="UZB70" s="144"/>
      <c r="UZC70" s="144"/>
      <c r="UZD70" s="143"/>
      <c r="UZE70" s="145"/>
      <c r="UZF70" s="143"/>
      <c r="UZG70" s="145"/>
      <c r="UZH70" s="146"/>
      <c r="UZI70" s="147"/>
      <c r="UZJ70"/>
      <c r="UZK70" s="148"/>
      <c r="UZL70"/>
      <c r="UZM70" s="140"/>
      <c r="UZN70" s="149"/>
      <c r="UZO70"/>
      <c r="UZP70" s="142"/>
      <c r="UZQ70" s="143"/>
      <c r="UZR70" s="144"/>
      <c r="UZS70" s="144"/>
      <c r="UZT70" s="143"/>
      <c r="UZU70" s="145"/>
      <c r="UZV70" s="143"/>
      <c r="UZW70" s="145"/>
      <c r="UZX70" s="146"/>
      <c r="UZY70" s="147"/>
      <c r="UZZ70"/>
      <c r="VAA70" s="148"/>
      <c r="VAB70"/>
      <c r="VAC70" s="140"/>
      <c r="VAD70" s="149"/>
      <c r="VAE70"/>
      <c r="VAF70" s="142"/>
      <c r="VAG70" s="143"/>
      <c r="VAH70" s="144"/>
      <c r="VAI70" s="144"/>
      <c r="VAJ70" s="143"/>
      <c r="VAK70" s="145"/>
      <c r="VAL70" s="143"/>
      <c r="VAM70" s="145"/>
      <c r="VAN70" s="146"/>
      <c r="VAO70" s="147"/>
      <c r="VAP70"/>
      <c r="VAQ70" s="148"/>
      <c r="VAR70"/>
      <c r="VAS70" s="140"/>
      <c r="VAT70" s="149"/>
      <c r="VAU70"/>
      <c r="VAV70" s="142"/>
      <c r="VAW70" s="143"/>
      <c r="VAX70" s="144"/>
      <c r="VAY70" s="144"/>
      <c r="VAZ70" s="143"/>
      <c r="VBA70" s="145"/>
      <c r="VBB70" s="143"/>
      <c r="VBC70" s="145"/>
      <c r="VBD70" s="146"/>
      <c r="VBE70" s="147"/>
      <c r="VBF70"/>
      <c r="VBG70" s="148"/>
      <c r="VBH70"/>
      <c r="VBI70" s="140"/>
      <c r="VBJ70" s="149"/>
      <c r="VBK70"/>
      <c r="VBL70" s="142"/>
      <c r="VBM70" s="143"/>
      <c r="VBN70" s="144"/>
      <c r="VBO70" s="144"/>
      <c r="VBP70" s="143"/>
      <c r="VBQ70" s="145"/>
      <c r="VBR70" s="143"/>
      <c r="VBS70" s="145"/>
      <c r="VBT70" s="146"/>
      <c r="VBU70" s="147"/>
      <c r="VBV70"/>
      <c r="VBW70" s="148"/>
      <c r="VBX70"/>
      <c r="VBY70" s="140"/>
      <c r="VBZ70" s="149"/>
      <c r="VCA70"/>
      <c r="VCB70" s="142"/>
      <c r="VCC70" s="143"/>
      <c r="VCD70" s="144"/>
      <c r="VCE70" s="144"/>
      <c r="VCF70" s="143"/>
      <c r="VCG70" s="145"/>
      <c r="VCH70" s="143"/>
      <c r="VCI70" s="145"/>
      <c r="VCJ70" s="146"/>
      <c r="VCK70" s="147"/>
      <c r="VCL70"/>
      <c r="VCM70" s="148"/>
      <c r="VCN70"/>
      <c r="VCO70" s="140"/>
      <c r="VCP70" s="149"/>
      <c r="VCQ70"/>
      <c r="VCR70" s="142"/>
      <c r="VCS70" s="143"/>
      <c r="VCT70" s="144"/>
      <c r="VCU70" s="144"/>
      <c r="VCV70" s="143"/>
      <c r="VCW70" s="145"/>
      <c r="VCX70" s="143"/>
      <c r="VCY70" s="145"/>
      <c r="VCZ70" s="146"/>
      <c r="VDA70" s="147"/>
      <c r="VDB70"/>
      <c r="VDC70" s="148"/>
      <c r="VDD70"/>
      <c r="VDE70" s="140"/>
      <c r="VDF70" s="149"/>
      <c r="VDG70"/>
      <c r="VDH70" s="142"/>
      <c r="VDI70" s="143"/>
      <c r="VDJ70" s="144"/>
      <c r="VDK70" s="144"/>
      <c r="VDL70" s="143"/>
      <c r="VDM70" s="145"/>
      <c r="VDN70" s="143"/>
      <c r="VDO70" s="145"/>
      <c r="VDP70" s="146"/>
      <c r="VDQ70" s="147"/>
      <c r="VDR70"/>
      <c r="VDS70" s="148"/>
      <c r="VDT70"/>
      <c r="VDU70" s="140"/>
      <c r="VDV70" s="149"/>
      <c r="VDW70"/>
      <c r="VDX70" s="142"/>
      <c r="VDY70" s="143"/>
      <c r="VDZ70" s="144"/>
      <c r="VEA70" s="144"/>
      <c r="VEB70" s="143"/>
      <c r="VEC70" s="145"/>
      <c r="VED70" s="143"/>
      <c r="VEE70" s="145"/>
      <c r="VEF70" s="146"/>
      <c r="VEG70" s="147"/>
      <c r="VEH70"/>
      <c r="VEI70" s="148"/>
      <c r="VEJ70"/>
      <c r="VEK70" s="140"/>
      <c r="VEL70" s="149"/>
      <c r="VEM70"/>
      <c r="VEN70" s="142"/>
      <c r="VEO70" s="143"/>
      <c r="VEP70" s="144"/>
      <c r="VEQ70" s="144"/>
      <c r="VER70" s="143"/>
      <c r="VES70" s="145"/>
      <c r="VET70" s="143"/>
      <c r="VEU70" s="145"/>
      <c r="VEV70" s="146"/>
      <c r="VEW70" s="147"/>
      <c r="VEX70"/>
      <c r="VEY70" s="148"/>
      <c r="VEZ70"/>
      <c r="VFA70" s="140"/>
      <c r="VFB70" s="149"/>
      <c r="VFC70"/>
      <c r="VFD70" s="142"/>
      <c r="VFE70" s="143"/>
      <c r="VFF70" s="144"/>
      <c r="VFG70" s="144"/>
      <c r="VFH70" s="143"/>
      <c r="VFI70" s="145"/>
      <c r="VFJ70" s="143"/>
      <c r="VFK70" s="145"/>
      <c r="VFL70" s="146"/>
      <c r="VFM70" s="147"/>
      <c r="VFN70"/>
      <c r="VFO70" s="148"/>
      <c r="VFP70"/>
      <c r="VFQ70" s="140"/>
      <c r="VFR70" s="149"/>
      <c r="VFS70"/>
      <c r="VFT70" s="142"/>
      <c r="VFU70" s="143"/>
      <c r="VFV70" s="144"/>
      <c r="VFW70" s="144"/>
      <c r="VFX70" s="143"/>
      <c r="VFY70" s="145"/>
      <c r="VFZ70" s="143"/>
      <c r="VGA70" s="145"/>
      <c r="VGB70" s="146"/>
      <c r="VGC70" s="147"/>
      <c r="VGD70"/>
      <c r="VGE70" s="148"/>
      <c r="VGF70"/>
      <c r="VGG70" s="140"/>
      <c r="VGH70" s="149"/>
      <c r="VGI70"/>
      <c r="VGJ70" s="142"/>
      <c r="VGK70" s="143"/>
      <c r="VGL70" s="144"/>
      <c r="VGM70" s="144"/>
      <c r="VGN70" s="143"/>
      <c r="VGO70" s="145"/>
      <c r="VGP70" s="143"/>
      <c r="VGQ70" s="145"/>
      <c r="VGR70" s="146"/>
      <c r="VGS70" s="147"/>
      <c r="VGT70"/>
      <c r="VGU70" s="148"/>
      <c r="VGV70"/>
      <c r="VGW70" s="140"/>
      <c r="VGX70" s="149"/>
      <c r="VGY70"/>
      <c r="VGZ70" s="142"/>
      <c r="VHA70" s="143"/>
      <c r="VHB70" s="144"/>
      <c r="VHC70" s="144"/>
    </row>
    <row r="71" spans="2:63 3073:12199 12790:15083" ht="28.8" x14ac:dyDescent="0.3">
      <c r="B71" s="222" t="s">
        <v>169</v>
      </c>
      <c r="C71" s="222"/>
      <c r="D71" s="222"/>
      <c r="E71" s="222"/>
      <c r="F71" s="222"/>
      <c r="G71" s="222"/>
      <c r="H71" s="222"/>
      <c r="I71" s="222"/>
      <c r="J71" s="222"/>
      <c r="K71" s="222"/>
      <c r="L71" s="222"/>
      <c r="M71" s="222"/>
      <c r="N71" s="222"/>
      <c r="O71" s="222"/>
      <c r="P71" s="222"/>
      <c r="Q71" s="222"/>
      <c r="U71" s="42"/>
    </row>
    <row r="72" spans="2:63 3073:12199 12790:15083" ht="28.8" x14ac:dyDescent="0.3">
      <c r="B72" s="72" t="s">
        <v>1</v>
      </c>
      <c r="C72" s="224" t="s">
        <v>2</v>
      </c>
      <c r="D72" s="224"/>
      <c r="E72" s="8" t="s">
        <v>3</v>
      </c>
      <c r="F72" s="8" t="s">
        <v>4</v>
      </c>
      <c r="G72" s="8" t="s">
        <v>153</v>
      </c>
      <c r="H72" s="1" t="s">
        <v>53</v>
      </c>
      <c r="I72" s="67" t="s">
        <v>154</v>
      </c>
      <c r="J72" s="2" t="s">
        <v>9</v>
      </c>
      <c r="K72" s="2" t="s">
        <v>10</v>
      </c>
      <c r="L72" s="2" t="s">
        <v>11</v>
      </c>
      <c r="M72" s="8" t="s">
        <v>12</v>
      </c>
      <c r="N72" s="102" t="s">
        <v>13</v>
      </c>
      <c r="O72" s="102" t="s">
        <v>14</v>
      </c>
      <c r="P72" s="102" t="s">
        <v>155</v>
      </c>
      <c r="Q72" s="78" t="s">
        <v>156</v>
      </c>
      <c r="U72" s="42"/>
    </row>
    <row r="73" spans="2:63 3073:12199 12790:15083" x14ac:dyDescent="0.3">
      <c r="B73" s="225" t="s">
        <v>170</v>
      </c>
      <c r="C73" s="243" t="s">
        <v>130</v>
      </c>
      <c r="D73" s="42" t="s">
        <v>18</v>
      </c>
      <c r="E73" s="62">
        <f>CEILING((((7900+297+115)*1.12)- 85)-150,50)</f>
        <v>9100</v>
      </c>
      <c r="F73" s="150">
        <v>85</v>
      </c>
      <c r="G73" s="151">
        <v>215</v>
      </c>
      <c r="H73" s="151">
        <v>75</v>
      </c>
      <c r="I73" s="150">
        <v>150</v>
      </c>
      <c r="J73" s="139">
        <f>SUM(E73:I73)</f>
        <v>9625</v>
      </c>
      <c r="K73" s="150">
        <v>200</v>
      </c>
      <c r="L73" s="139">
        <f>SUM(J73:K73)</f>
        <v>9825</v>
      </c>
      <c r="M73" s="132" t="s">
        <v>113</v>
      </c>
      <c r="N73" s="180" t="s">
        <v>158</v>
      </c>
      <c r="O73" s="141" t="s">
        <v>41</v>
      </c>
      <c r="P73" s="116" t="s">
        <v>159</v>
      </c>
      <c r="Q73" s="134" t="s">
        <v>136</v>
      </c>
      <c r="U73" s="42"/>
    </row>
    <row r="74" spans="2:63 3073:12199 12790:15083" x14ac:dyDescent="0.3">
      <c r="B74" s="225"/>
      <c r="C74" s="243"/>
      <c r="D74" s="42" t="s">
        <v>24</v>
      </c>
      <c r="E74" s="62">
        <f>CEILING((((8800+297+115)*1.12)- 85)-150,50)</f>
        <v>10100</v>
      </c>
      <c r="F74" s="150">
        <v>85</v>
      </c>
      <c r="G74" s="151">
        <v>215</v>
      </c>
      <c r="H74" s="151">
        <v>75</v>
      </c>
      <c r="I74" s="150">
        <v>150</v>
      </c>
      <c r="J74" s="139">
        <f>SUM(E74:I74)</f>
        <v>10625</v>
      </c>
      <c r="K74" s="150">
        <v>200</v>
      </c>
      <c r="L74" s="139">
        <f>SUM(J74:K74)</f>
        <v>10825</v>
      </c>
      <c r="M74" s="132" t="s">
        <v>113</v>
      </c>
      <c r="N74" s="180" t="s">
        <v>158</v>
      </c>
      <c r="O74" s="141" t="s">
        <v>41</v>
      </c>
      <c r="P74" s="116" t="s">
        <v>159</v>
      </c>
      <c r="Q74" s="134" t="s">
        <v>136</v>
      </c>
      <c r="U74" s="42"/>
    </row>
    <row r="75" spans="2:63 3073:12199 12790:15083" ht="28.8" x14ac:dyDescent="0.3">
      <c r="B75" s="327" t="s">
        <v>171</v>
      </c>
      <c r="C75" s="327"/>
      <c r="D75" s="327"/>
      <c r="E75" s="327"/>
      <c r="F75" s="327"/>
      <c r="G75" s="327"/>
      <c r="H75" s="327"/>
      <c r="I75" s="327"/>
      <c r="J75" s="327"/>
      <c r="K75" s="327"/>
      <c r="L75" s="327"/>
      <c r="M75" s="327"/>
      <c r="N75" s="327"/>
      <c r="O75" s="327"/>
      <c r="P75" s="327"/>
      <c r="Q75" s="327"/>
      <c r="U75" s="42"/>
    </row>
    <row r="76" spans="2:63 3073:12199 12790:15083" ht="28.8" x14ac:dyDescent="0.3">
      <c r="B76" s="72" t="s">
        <v>1</v>
      </c>
      <c r="C76" s="224" t="s">
        <v>2</v>
      </c>
      <c r="D76" s="224"/>
      <c r="E76" s="8" t="s">
        <v>3</v>
      </c>
      <c r="F76" s="8" t="s">
        <v>4</v>
      </c>
      <c r="G76" s="8" t="s">
        <v>153</v>
      </c>
      <c r="H76" s="1" t="s">
        <v>53</v>
      </c>
      <c r="I76" s="67" t="s">
        <v>154</v>
      </c>
      <c r="J76" s="2" t="s">
        <v>9</v>
      </c>
      <c r="K76" s="2" t="s">
        <v>10</v>
      </c>
      <c r="L76" s="2" t="s">
        <v>11</v>
      </c>
      <c r="M76" s="8" t="s">
        <v>12</v>
      </c>
      <c r="N76" s="102" t="s">
        <v>13</v>
      </c>
      <c r="O76" s="102" t="s">
        <v>14</v>
      </c>
      <c r="P76" s="102" t="s">
        <v>155</v>
      </c>
      <c r="Q76" s="78" t="s">
        <v>156</v>
      </c>
      <c r="U76" s="42"/>
    </row>
    <row r="77" spans="2:63 3073:12199 12790:15083" ht="14.4" customHeight="1" x14ac:dyDescent="0.3">
      <c r="B77" s="305" t="s">
        <v>172</v>
      </c>
      <c r="C77" s="243" t="s">
        <v>130</v>
      </c>
      <c r="D77" s="42" t="s">
        <v>18</v>
      </c>
      <c r="E77" s="62">
        <f>CEILING((((3270+100+100+380)*1.12)- 380)-150,50)</f>
        <v>3800</v>
      </c>
      <c r="F77" s="43">
        <v>380</v>
      </c>
      <c r="G77" s="43">
        <v>215</v>
      </c>
      <c r="H77" s="43">
        <v>75</v>
      </c>
      <c r="I77" s="45">
        <v>150</v>
      </c>
      <c r="J77" s="47">
        <f>SUM(E77:I77)</f>
        <v>4620</v>
      </c>
      <c r="K77" s="45">
        <v>200</v>
      </c>
      <c r="L77" s="47">
        <f>SUM(J77:K77)</f>
        <v>4820</v>
      </c>
      <c r="M77" s="42" t="s">
        <v>173</v>
      </c>
      <c r="N77" s="209" t="s">
        <v>174</v>
      </c>
      <c r="O77" s="42" t="s">
        <v>175</v>
      </c>
      <c r="P77" s="325" t="s">
        <v>159</v>
      </c>
      <c r="Q77" s="79" t="s">
        <v>176</v>
      </c>
      <c r="U77" s="42" t="s">
        <v>177</v>
      </c>
    </row>
    <row r="78" spans="2:63 3073:12199 12790:15083" ht="27" customHeight="1" thickBot="1" x14ac:dyDescent="0.35">
      <c r="B78" s="317"/>
      <c r="C78" s="318"/>
      <c r="D78" s="66" t="s">
        <v>24</v>
      </c>
      <c r="E78" s="63">
        <f>CEILING((((4023+150+100+380)*1.12)- 380)-150,50)</f>
        <v>4700</v>
      </c>
      <c r="F78" s="43">
        <v>380</v>
      </c>
      <c r="G78" s="80">
        <v>215</v>
      </c>
      <c r="H78" s="80">
        <v>75</v>
      </c>
      <c r="I78" s="64">
        <v>150</v>
      </c>
      <c r="J78" s="65">
        <f>SUM(E78:I78)</f>
        <v>5520</v>
      </c>
      <c r="K78" s="64">
        <v>200</v>
      </c>
      <c r="L78" s="65">
        <f>SUM(J78:K78)</f>
        <v>5720</v>
      </c>
      <c r="M78" s="66" t="s">
        <v>173</v>
      </c>
      <c r="N78" s="209" t="s">
        <v>174</v>
      </c>
      <c r="O78" s="66" t="s">
        <v>175</v>
      </c>
      <c r="P78" s="326"/>
      <c r="Q78" s="181" t="s">
        <v>176</v>
      </c>
      <c r="U78" s="42" t="s">
        <v>177</v>
      </c>
    </row>
    <row r="79" spans="2:63 3073:12199 12790:15083" x14ac:dyDescent="0.3">
      <c r="B79" s="26"/>
      <c r="C79" s="26"/>
      <c r="E79" s="50"/>
      <c r="F79" s="51"/>
      <c r="G79" s="51"/>
      <c r="H79" s="51"/>
      <c r="I79" s="51"/>
      <c r="J79" s="52"/>
      <c r="K79" s="52"/>
      <c r="L79" s="52"/>
      <c r="M79" s="52"/>
      <c r="N79" s="95"/>
      <c r="O79" s="52"/>
      <c r="P79" s="53"/>
      <c r="Q79" s="54"/>
    </row>
    <row r="81" spans="2:20" ht="15.6" x14ac:dyDescent="0.3">
      <c r="B81" s="5" t="s">
        <v>34</v>
      </c>
      <c r="C81" s="6"/>
      <c r="D81" s="6"/>
      <c r="E81" s="6"/>
      <c r="F81" s="6"/>
      <c r="G81" s="6"/>
      <c r="H81" s="6"/>
      <c r="I81" s="6"/>
      <c r="J81" s="6"/>
      <c r="K81" s="6"/>
      <c r="L81" s="6"/>
      <c r="M81" s="6"/>
      <c r="N81" s="6"/>
      <c r="O81" s="6"/>
      <c r="P81" s="6"/>
      <c r="Q81" s="6"/>
      <c r="R81" s="6"/>
      <c r="S81" s="6"/>
      <c r="T81" s="6"/>
    </row>
    <row r="82" spans="2:20" x14ac:dyDescent="0.3">
      <c r="B82" s="304" t="s">
        <v>35</v>
      </c>
      <c r="C82" s="304"/>
      <c r="D82" s="304"/>
      <c r="E82" s="304"/>
      <c r="F82" s="304"/>
      <c r="G82" s="304"/>
      <c r="H82" s="304"/>
      <c r="I82" s="304"/>
      <c r="J82" s="304"/>
      <c r="K82" s="304"/>
      <c r="L82" s="304"/>
      <c r="M82" s="304"/>
      <c r="N82" s="304"/>
      <c r="O82" s="304"/>
      <c r="P82" s="304"/>
      <c r="Q82" s="304"/>
      <c r="R82" s="304"/>
      <c r="S82" s="304"/>
      <c r="T82" s="304"/>
    </row>
    <row r="83" spans="2:20" x14ac:dyDescent="0.3">
      <c r="B83" s="304"/>
      <c r="C83" s="304"/>
      <c r="D83" s="304"/>
      <c r="E83" s="304"/>
      <c r="F83" s="304"/>
      <c r="G83" s="304"/>
      <c r="H83" s="304"/>
      <c r="I83" s="304"/>
      <c r="J83" s="304"/>
      <c r="K83" s="304"/>
      <c r="L83" s="304"/>
      <c r="M83" s="304"/>
      <c r="N83" s="304"/>
      <c r="O83" s="304"/>
      <c r="P83" s="304"/>
      <c r="Q83" s="304"/>
      <c r="R83" s="304"/>
      <c r="S83" s="304"/>
      <c r="T83" s="304"/>
    </row>
    <row r="84" spans="2:20" x14ac:dyDescent="0.3">
      <c r="B84" s="304"/>
      <c r="C84" s="304"/>
      <c r="D84" s="304"/>
      <c r="E84" s="304"/>
      <c r="F84" s="304"/>
      <c r="G84" s="304"/>
      <c r="H84" s="304"/>
      <c r="I84" s="304"/>
      <c r="J84" s="304"/>
      <c r="K84" s="304"/>
      <c r="L84" s="304"/>
      <c r="M84" s="304"/>
      <c r="N84" s="304"/>
      <c r="O84" s="304"/>
      <c r="P84" s="304"/>
      <c r="Q84" s="304"/>
      <c r="R84" s="304"/>
      <c r="S84" s="304"/>
      <c r="T84" s="304"/>
    </row>
    <row r="85" spans="2:20" x14ac:dyDescent="0.3">
      <c r="B85" s="304"/>
      <c r="C85" s="304"/>
      <c r="D85" s="304"/>
      <c r="E85" s="304"/>
      <c r="F85" s="304"/>
      <c r="G85" s="304"/>
      <c r="H85" s="304"/>
      <c r="I85" s="304"/>
      <c r="J85" s="304"/>
      <c r="K85" s="304"/>
      <c r="L85" s="304"/>
      <c r="M85" s="304"/>
      <c r="N85" s="304"/>
      <c r="O85" s="304"/>
      <c r="P85" s="304"/>
      <c r="Q85" s="304"/>
      <c r="R85" s="304"/>
      <c r="S85" s="304"/>
      <c r="T85" s="304"/>
    </row>
    <row r="94" spans="2:20" ht="28.8" x14ac:dyDescent="0.3">
      <c r="B94" s="257" t="s">
        <v>178</v>
      </c>
      <c r="C94" s="257"/>
      <c r="D94" s="257"/>
      <c r="E94" s="257"/>
      <c r="F94" s="257"/>
      <c r="G94" s="257"/>
      <c r="H94" s="257"/>
      <c r="I94" s="257"/>
      <c r="J94" s="257"/>
      <c r="K94" s="257"/>
      <c r="L94" s="257"/>
      <c r="M94" s="257"/>
      <c r="N94" s="257"/>
      <c r="O94" s="257"/>
      <c r="P94" s="257"/>
      <c r="Q94" s="257"/>
      <c r="R94" s="257"/>
      <c r="S94" s="257"/>
    </row>
    <row r="95" spans="2:20" ht="28.8" x14ac:dyDescent="0.3">
      <c r="B95" s="1" t="s">
        <v>1</v>
      </c>
      <c r="C95" s="320" t="s">
        <v>2</v>
      </c>
      <c r="D95" s="320"/>
      <c r="E95" s="105" t="s">
        <v>141</v>
      </c>
      <c r="F95" s="12" t="s">
        <v>142</v>
      </c>
      <c r="G95" s="13" t="s">
        <v>106</v>
      </c>
      <c r="H95" s="12" t="s">
        <v>6</v>
      </c>
      <c r="I95" s="2" t="s">
        <v>179</v>
      </c>
      <c r="J95" s="2" t="s">
        <v>9</v>
      </c>
      <c r="K95" s="2" t="s">
        <v>10</v>
      </c>
      <c r="L95" s="2" t="s">
        <v>11</v>
      </c>
      <c r="M95" s="8" t="s">
        <v>12</v>
      </c>
      <c r="N95" s="10" t="s">
        <v>13</v>
      </c>
      <c r="O95" s="182" t="s">
        <v>14</v>
      </c>
      <c r="P95" s="15" t="s">
        <v>133</v>
      </c>
      <c r="Q95" s="224" t="s">
        <v>38</v>
      </c>
      <c r="R95" s="224"/>
      <c r="S95" s="224"/>
    </row>
    <row r="96" spans="2:20" ht="28.95" customHeight="1" x14ac:dyDescent="0.3">
      <c r="B96" s="251" t="s">
        <v>107</v>
      </c>
      <c r="C96" s="243" t="s">
        <v>130</v>
      </c>
      <c r="D96" s="42" t="s">
        <v>18</v>
      </c>
      <c r="E96" s="30">
        <v>1500</v>
      </c>
      <c r="F96" s="43">
        <v>175</v>
      </c>
      <c r="G96" s="30">
        <v>150</v>
      </c>
      <c r="H96" s="30">
        <v>14</v>
      </c>
      <c r="I96" s="45">
        <v>300</v>
      </c>
      <c r="J96" s="47">
        <f>SUM(E96:I96)</f>
        <v>2139</v>
      </c>
      <c r="K96" s="45">
        <v>200</v>
      </c>
      <c r="L96" s="47">
        <f>J96+K96</f>
        <v>2339</v>
      </c>
      <c r="M96" s="77" t="s">
        <v>180</v>
      </c>
      <c r="N96" s="210" t="s">
        <v>181</v>
      </c>
      <c r="O96" s="34" t="s">
        <v>46</v>
      </c>
      <c r="P96" s="42" t="s">
        <v>182</v>
      </c>
      <c r="Q96" s="244" t="s">
        <v>47</v>
      </c>
      <c r="R96" s="244"/>
      <c r="S96" s="244"/>
    </row>
    <row r="97" spans="2:20" x14ac:dyDescent="0.3">
      <c r="B97" s="226"/>
      <c r="C97" s="243"/>
      <c r="D97" s="42" t="s">
        <v>24</v>
      </c>
      <c r="E97" s="31">
        <v>1950</v>
      </c>
      <c r="F97" s="43">
        <v>225</v>
      </c>
      <c r="G97" s="30">
        <v>150</v>
      </c>
      <c r="H97" s="30">
        <v>14</v>
      </c>
      <c r="I97" s="45">
        <v>600</v>
      </c>
      <c r="J97" s="47">
        <f>SUM(E97:I97)</f>
        <v>2939</v>
      </c>
      <c r="K97" s="45">
        <v>200</v>
      </c>
      <c r="L97" s="47">
        <f>J97+K97</f>
        <v>3139</v>
      </c>
      <c r="M97" s="77" t="s">
        <v>180</v>
      </c>
      <c r="N97" s="210" t="s">
        <v>181</v>
      </c>
      <c r="O97" s="34" t="s">
        <v>46</v>
      </c>
      <c r="P97" s="42" t="s">
        <v>182</v>
      </c>
      <c r="Q97" s="244"/>
      <c r="R97" s="244"/>
      <c r="S97" s="244"/>
    </row>
    <row r="99" spans="2:20" ht="15.6" x14ac:dyDescent="0.3">
      <c r="B99" s="5" t="s">
        <v>34</v>
      </c>
      <c r="C99" s="6"/>
      <c r="D99" s="6"/>
      <c r="E99" s="6"/>
      <c r="F99" s="6"/>
      <c r="G99" s="6"/>
      <c r="H99" s="6"/>
      <c r="I99" s="6"/>
      <c r="J99" s="6"/>
      <c r="K99" s="6"/>
      <c r="L99" s="6"/>
      <c r="M99" s="6"/>
      <c r="N99" s="6"/>
      <c r="O99" s="6"/>
      <c r="P99" s="6"/>
      <c r="Q99" s="6"/>
      <c r="R99" s="6"/>
      <c r="S99" s="6"/>
      <c r="T99" s="6"/>
    </row>
    <row r="100" spans="2:20" x14ac:dyDescent="0.3">
      <c r="B100" s="304" t="s">
        <v>35</v>
      </c>
      <c r="C100" s="304"/>
      <c r="D100" s="304"/>
      <c r="E100" s="304"/>
      <c r="F100" s="304"/>
      <c r="G100" s="304"/>
      <c r="H100" s="304"/>
      <c r="I100" s="304"/>
      <c r="J100" s="304"/>
      <c r="K100" s="304"/>
      <c r="L100" s="304"/>
      <c r="M100" s="304"/>
      <c r="N100" s="304"/>
      <c r="O100" s="304"/>
      <c r="P100" s="304"/>
      <c r="Q100" s="304"/>
      <c r="R100" s="304"/>
      <c r="S100" s="304"/>
      <c r="T100" s="304"/>
    </row>
    <row r="101" spans="2:20" x14ac:dyDescent="0.3">
      <c r="B101" s="304"/>
      <c r="C101" s="304"/>
      <c r="D101" s="304"/>
      <c r="E101" s="304"/>
      <c r="F101" s="304"/>
      <c r="G101" s="304"/>
      <c r="H101" s="304"/>
      <c r="I101" s="304"/>
      <c r="J101" s="304"/>
      <c r="K101" s="304"/>
      <c r="L101" s="304"/>
      <c r="M101" s="304"/>
      <c r="N101" s="304"/>
      <c r="O101" s="304"/>
      <c r="P101" s="304"/>
      <c r="Q101" s="304"/>
      <c r="R101" s="304"/>
      <c r="S101" s="304"/>
      <c r="T101" s="304"/>
    </row>
    <row r="102" spans="2:20" x14ac:dyDescent="0.3">
      <c r="B102" s="304"/>
      <c r="C102" s="304"/>
      <c r="D102" s="304"/>
      <c r="E102" s="304"/>
      <c r="F102" s="304"/>
      <c r="G102" s="304"/>
      <c r="H102" s="304"/>
      <c r="I102" s="304"/>
      <c r="J102" s="304"/>
      <c r="K102" s="304"/>
      <c r="L102" s="304"/>
      <c r="M102" s="304"/>
      <c r="N102" s="304"/>
      <c r="O102" s="304"/>
      <c r="P102" s="304"/>
      <c r="Q102" s="304"/>
      <c r="R102" s="304"/>
      <c r="S102" s="304"/>
      <c r="T102" s="304"/>
    </row>
    <row r="103" spans="2:20" x14ac:dyDescent="0.3">
      <c r="B103" s="304"/>
      <c r="C103" s="304"/>
      <c r="D103" s="304"/>
      <c r="E103" s="304"/>
      <c r="F103" s="304"/>
      <c r="G103" s="304"/>
      <c r="H103" s="304"/>
      <c r="I103" s="304"/>
      <c r="J103" s="304"/>
      <c r="K103" s="304"/>
      <c r="L103" s="304"/>
      <c r="M103" s="304"/>
      <c r="N103" s="304"/>
      <c r="O103" s="304"/>
      <c r="P103" s="304"/>
      <c r="Q103" s="304"/>
      <c r="R103" s="304"/>
      <c r="S103" s="304"/>
      <c r="T103" s="304"/>
    </row>
    <row r="113" spans="2:17" ht="15" thickBot="1" x14ac:dyDescent="0.35"/>
    <row r="114" spans="2:17" ht="28.8" x14ac:dyDescent="0.3">
      <c r="B114" s="222" t="s">
        <v>183</v>
      </c>
      <c r="C114" s="222"/>
      <c r="D114" s="222"/>
      <c r="E114" s="222"/>
      <c r="F114" s="222"/>
      <c r="G114" s="222"/>
      <c r="H114" s="222"/>
      <c r="I114" s="222"/>
      <c r="J114" s="222"/>
      <c r="K114" s="222"/>
      <c r="L114" s="222"/>
      <c r="M114" s="222"/>
      <c r="N114" s="222"/>
      <c r="O114" s="222"/>
      <c r="P114" s="222"/>
      <c r="Q114" s="222"/>
    </row>
    <row r="115" spans="2:17" ht="28.8" x14ac:dyDescent="0.3">
      <c r="B115" s="72" t="s">
        <v>1</v>
      </c>
      <c r="C115" s="224" t="s">
        <v>2</v>
      </c>
      <c r="D115" s="224"/>
      <c r="E115" s="8" t="s">
        <v>3</v>
      </c>
      <c r="F115" s="8" t="s">
        <v>4</v>
      </c>
      <c r="G115" s="8" t="s">
        <v>153</v>
      </c>
      <c r="H115" s="1" t="s">
        <v>53</v>
      </c>
      <c r="I115" s="67" t="s">
        <v>154</v>
      </c>
      <c r="J115" s="2" t="s">
        <v>9</v>
      </c>
      <c r="K115" s="2" t="s">
        <v>10</v>
      </c>
      <c r="L115" s="2" t="s">
        <v>11</v>
      </c>
      <c r="M115" s="8" t="s">
        <v>12</v>
      </c>
      <c r="N115" s="102" t="s">
        <v>13</v>
      </c>
      <c r="O115" s="102" t="s">
        <v>14</v>
      </c>
      <c r="P115" s="102" t="s">
        <v>155</v>
      </c>
      <c r="Q115" s="78" t="s">
        <v>156</v>
      </c>
    </row>
    <row r="116" spans="2:17" x14ac:dyDescent="0.3">
      <c r="B116" s="305" t="s">
        <v>184</v>
      </c>
      <c r="C116" s="243" t="s">
        <v>130</v>
      </c>
      <c r="D116" s="42" t="s">
        <v>18</v>
      </c>
      <c r="E116" s="62">
        <v>3350</v>
      </c>
      <c r="F116" s="45">
        <v>85</v>
      </c>
      <c r="G116" s="43">
        <v>215</v>
      </c>
      <c r="H116" s="43">
        <v>75</v>
      </c>
      <c r="I116" s="45">
        <v>150</v>
      </c>
      <c r="J116" s="47">
        <f>SUM(E116:I116)</f>
        <v>3875</v>
      </c>
      <c r="K116" s="45">
        <v>200</v>
      </c>
      <c r="L116" s="47">
        <f>SUM(J116:K116)</f>
        <v>4075</v>
      </c>
      <c r="M116" s="48" t="s">
        <v>185</v>
      </c>
      <c r="N116" s="175" t="s">
        <v>181</v>
      </c>
      <c r="O116" s="42" t="s">
        <v>41</v>
      </c>
      <c r="P116" s="68" t="s">
        <v>186</v>
      </c>
      <c r="Q116" s="79" t="s">
        <v>187</v>
      </c>
    </row>
    <row r="117" spans="2:17" x14ac:dyDescent="0.3">
      <c r="B117" s="305"/>
      <c r="C117" s="243"/>
      <c r="D117" s="42" t="s">
        <v>24</v>
      </c>
      <c r="E117" s="62">
        <v>4400</v>
      </c>
      <c r="F117" s="45">
        <v>85</v>
      </c>
      <c r="G117" s="43">
        <v>215</v>
      </c>
      <c r="H117" s="43">
        <v>75</v>
      </c>
      <c r="I117" s="45">
        <v>150</v>
      </c>
      <c r="J117" s="47">
        <f>SUM(E117:I117)</f>
        <v>4925</v>
      </c>
      <c r="K117" s="45">
        <v>200</v>
      </c>
      <c r="L117" s="47">
        <f>SUM(J117:K117)</f>
        <v>5125</v>
      </c>
      <c r="M117" s="48" t="s">
        <v>185</v>
      </c>
      <c r="N117" s="175" t="s">
        <v>181</v>
      </c>
      <c r="O117" s="42" t="s">
        <v>41</v>
      </c>
      <c r="P117" s="68" t="s">
        <v>186</v>
      </c>
      <c r="Q117" s="79" t="s">
        <v>187</v>
      </c>
    </row>
    <row r="126" spans="2:17" ht="15" thickBot="1" x14ac:dyDescent="0.35"/>
    <row r="127" spans="2:17" ht="28.8" x14ac:dyDescent="0.3">
      <c r="B127" s="319" t="s">
        <v>188</v>
      </c>
      <c r="C127" s="319"/>
      <c r="D127" s="319"/>
      <c r="E127" s="319"/>
      <c r="F127" s="319"/>
      <c r="G127" s="319"/>
      <c r="H127" s="319"/>
      <c r="I127" s="319"/>
      <c r="J127" s="319"/>
      <c r="K127" s="319"/>
      <c r="L127" s="319"/>
      <c r="M127" s="319"/>
      <c r="N127" s="319"/>
      <c r="O127" s="319"/>
      <c r="P127" s="319"/>
      <c r="Q127" s="319"/>
    </row>
    <row r="128" spans="2:17" ht="28.8" x14ac:dyDescent="0.3">
      <c r="B128" s="72" t="s">
        <v>1</v>
      </c>
      <c r="C128" s="224" t="s">
        <v>2</v>
      </c>
      <c r="D128" s="224"/>
      <c r="E128" s="8" t="s">
        <v>3</v>
      </c>
      <c r="F128" s="8" t="s">
        <v>4</v>
      </c>
      <c r="G128" s="8" t="s">
        <v>153</v>
      </c>
      <c r="H128" s="1" t="s">
        <v>53</v>
      </c>
      <c r="I128" s="67" t="s">
        <v>154</v>
      </c>
      <c r="J128" s="2" t="s">
        <v>9</v>
      </c>
      <c r="K128" s="2" t="s">
        <v>10</v>
      </c>
      <c r="L128" s="2" t="s">
        <v>11</v>
      </c>
      <c r="M128" s="8" t="s">
        <v>12</v>
      </c>
      <c r="N128" s="102" t="s">
        <v>13</v>
      </c>
      <c r="O128" s="102" t="s">
        <v>14</v>
      </c>
      <c r="P128" s="102" t="s">
        <v>155</v>
      </c>
      <c r="Q128" s="78" t="s">
        <v>156</v>
      </c>
    </row>
    <row r="129" spans="2:17" x14ac:dyDescent="0.3">
      <c r="B129" s="305" t="s">
        <v>189</v>
      </c>
      <c r="C129" s="243" t="s">
        <v>130</v>
      </c>
      <c r="D129" s="42" t="s">
        <v>18</v>
      </c>
      <c r="E129" s="43">
        <v>2575</v>
      </c>
      <c r="F129" s="43">
        <v>370</v>
      </c>
      <c r="G129" s="43">
        <v>150</v>
      </c>
      <c r="H129" s="43">
        <v>75</v>
      </c>
      <c r="I129" s="43">
        <v>150</v>
      </c>
      <c r="J129" s="43">
        <f>SUM(E129:I129)</f>
        <v>3320</v>
      </c>
      <c r="K129" s="43">
        <v>200</v>
      </c>
      <c r="L129" s="43">
        <f>SUM(J129:K129)</f>
        <v>3520</v>
      </c>
      <c r="M129" s="211">
        <v>30</v>
      </c>
      <c r="N129" s="175" t="s">
        <v>181</v>
      </c>
      <c r="O129" s="211" t="s">
        <v>108</v>
      </c>
      <c r="P129" s="68" t="s">
        <v>186</v>
      </c>
      <c r="Q129" s="212" t="s">
        <v>33</v>
      </c>
    </row>
    <row r="130" spans="2:17" x14ac:dyDescent="0.3">
      <c r="B130" s="305" t="s">
        <v>189</v>
      </c>
      <c r="C130" s="243" t="s">
        <v>130</v>
      </c>
      <c r="D130" s="42" t="s">
        <v>24</v>
      </c>
      <c r="E130" s="43">
        <v>3000</v>
      </c>
      <c r="F130" s="43">
        <v>370</v>
      </c>
      <c r="G130" s="43">
        <v>150</v>
      </c>
      <c r="H130" s="43">
        <v>75</v>
      </c>
      <c r="I130" s="43">
        <v>150</v>
      </c>
      <c r="J130" s="43">
        <f>SUM(E130:I130)</f>
        <v>3745</v>
      </c>
      <c r="K130" s="43">
        <v>200</v>
      </c>
      <c r="L130" s="43">
        <f>SUM(J130:K130)</f>
        <v>3945</v>
      </c>
      <c r="M130" s="211">
        <v>30</v>
      </c>
      <c r="N130" s="175" t="s">
        <v>181</v>
      </c>
      <c r="O130" s="211" t="s">
        <v>108</v>
      </c>
      <c r="P130" s="68" t="s">
        <v>186</v>
      </c>
      <c r="Q130" s="212" t="s">
        <v>33</v>
      </c>
    </row>
    <row r="131" spans="2:17" x14ac:dyDescent="0.3">
      <c r="B131" s="305" t="s">
        <v>190</v>
      </c>
      <c r="C131" s="243" t="s">
        <v>130</v>
      </c>
      <c r="D131" s="42" t="s">
        <v>18</v>
      </c>
      <c r="E131" s="43">
        <f>CEILING((((1300+130+10+72+20+100)*1.15)-100)-150,50)</f>
        <v>1650</v>
      </c>
      <c r="F131" s="43">
        <v>100</v>
      </c>
      <c r="G131" s="43">
        <v>215</v>
      </c>
      <c r="H131" s="43">
        <v>75</v>
      </c>
      <c r="I131" s="43">
        <v>150</v>
      </c>
      <c r="J131" s="43">
        <f>SUM(E131:I131)</f>
        <v>2190</v>
      </c>
      <c r="K131" s="43">
        <v>200</v>
      </c>
      <c r="L131" s="43">
        <f>SUM(J131:K131)</f>
        <v>2390</v>
      </c>
      <c r="M131" s="48">
        <v>30</v>
      </c>
      <c r="N131" s="175" t="s">
        <v>181</v>
      </c>
      <c r="O131" s="48" t="s">
        <v>66</v>
      </c>
      <c r="P131" s="68" t="s">
        <v>186</v>
      </c>
      <c r="Q131" s="212" t="s">
        <v>187</v>
      </c>
    </row>
    <row r="132" spans="2:17" x14ac:dyDescent="0.3">
      <c r="B132" s="305"/>
      <c r="C132" s="243"/>
      <c r="D132" s="42" t="s">
        <v>24</v>
      </c>
      <c r="E132" s="43">
        <f>CEILING((((1400+260+10+72+20+150)*1.15)-150)-150,50)</f>
        <v>1900</v>
      </c>
      <c r="F132" s="43">
        <v>150</v>
      </c>
      <c r="G132" s="43">
        <v>215</v>
      </c>
      <c r="H132" s="43">
        <v>75</v>
      </c>
      <c r="I132" s="43">
        <v>150</v>
      </c>
      <c r="J132" s="43">
        <f>SUM(E132:I132)</f>
        <v>2490</v>
      </c>
      <c r="K132" s="43">
        <v>200</v>
      </c>
      <c r="L132" s="43">
        <f>SUM(J132:K132)</f>
        <v>2690</v>
      </c>
      <c r="M132" s="48">
        <v>30</v>
      </c>
      <c r="N132" s="175" t="s">
        <v>181</v>
      </c>
      <c r="O132" s="48" t="s">
        <v>66</v>
      </c>
      <c r="P132" s="68" t="s">
        <v>186</v>
      </c>
      <c r="Q132" s="79" t="s">
        <v>187</v>
      </c>
    </row>
  </sheetData>
  <sheetProtection algorithmName="SHA-512" hashValue="zJYLjNTfcCT6+0Y3dSnj/xL3/ei9AYtR9Za8wttcYnoHkKgLmYUnbZ5a7mUVEZeH73Eww4B/bDnaFsn2/7UUyg==" saltValue="s8IAaxRmhatiVsp7iWdFTQ==" spinCount="100000" sheet="1" objects="1" scenarios="1"/>
  <mergeCells count="62">
    <mergeCell ref="B11:B12"/>
    <mergeCell ref="C11:C12"/>
    <mergeCell ref="B61:B62"/>
    <mergeCell ref="P39:R39"/>
    <mergeCell ref="B15:B16"/>
    <mergeCell ref="C15:C16"/>
    <mergeCell ref="B17:B18"/>
    <mergeCell ref="C17:C18"/>
    <mergeCell ref="B36:B37"/>
    <mergeCell ref="C36:C37"/>
    <mergeCell ref="P36:R37"/>
    <mergeCell ref="B9:Q9"/>
    <mergeCell ref="C61:C62"/>
    <mergeCell ref="B13:B14"/>
    <mergeCell ref="C13:C14"/>
    <mergeCell ref="B57:B58"/>
    <mergeCell ref="C57:C58"/>
    <mergeCell ref="B42:S45"/>
    <mergeCell ref="B55:Q55"/>
    <mergeCell ref="C56:D56"/>
    <mergeCell ref="B34:R34"/>
    <mergeCell ref="C35:D35"/>
    <mergeCell ref="P35:R35"/>
    <mergeCell ref="P38:R38"/>
    <mergeCell ref="B59:B60"/>
    <mergeCell ref="C59:C60"/>
    <mergeCell ref="C10:D10"/>
    <mergeCell ref="P77:P78"/>
    <mergeCell ref="B82:T85"/>
    <mergeCell ref="B67:B68"/>
    <mergeCell ref="B71:Q71"/>
    <mergeCell ref="B73:B74"/>
    <mergeCell ref="C73:C74"/>
    <mergeCell ref="B75:Q75"/>
    <mergeCell ref="C76:D76"/>
    <mergeCell ref="C66:D66"/>
    <mergeCell ref="B63:B64"/>
    <mergeCell ref="C63:C64"/>
    <mergeCell ref="B65:Q65"/>
    <mergeCell ref="C72:D72"/>
    <mergeCell ref="B69:B70"/>
    <mergeCell ref="B127:Q127"/>
    <mergeCell ref="C128:D128"/>
    <mergeCell ref="Q95:S95"/>
    <mergeCell ref="B94:S94"/>
    <mergeCell ref="C95:D95"/>
    <mergeCell ref="B131:B132"/>
    <mergeCell ref="C131:C132"/>
    <mergeCell ref="B129:B130"/>
    <mergeCell ref="C129:C130"/>
    <mergeCell ref="B20:R20"/>
    <mergeCell ref="B21:R24"/>
    <mergeCell ref="B116:B117"/>
    <mergeCell ref="C116:C117"/>
    <mergeCell ref="B96:B97"/>
    <mergeCell ref="C96:C97"/>
    <mergeCell ref="Q96:S97"/>
    <mergeCell ref="B100:T103"/>
    <mergeCell ref="B114:Q114"/>
    <mergeCell ref="C115:D115"/>
    <mergeCell ref="B77:B78"/>
    <mergeCell ref="C77:C78"/>
  </mergeCells>
  <phoneticPr fontId="14" type="noConversion"/>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1E299-5866-CE44-ADC7-A0E34965AEA2}">
  <dimension ref="B8:S140"/>
  <sheetViews>
    <sheetView zoomScaleNormal="100" zoomScaleSheetLayoutView="100" workbookViewId="0">
      <selection activeCell="Q14" sqref="Q14"/>
    </sheetView>
  </sheetViews>
  <sheetFormatPr defaultColWidth="9.109375" defaultRowHeight="14.4" x14ac:dyDescent="0.3"/>
  <cols>
    <col min="1" max="1" width="9.109375" style="17"/>
    <col min="2" max="2" width="28.6640625" style="17" customWidth="1"/>
    <col min="3" max="3" width="15.88671875" style="17" customWidth="1"/>
    <col min="4" max="4" width="4.5546875" style="17" bestFit="1" customWidth="1"/>
    <col min="5" max="5" width="12.33203125" style="17" bestFit="1" customWidth="1"/>
    <col min="6" max="6" width="10.6640625" style="17" bestFit="1" customWidth="1"/>
    <col min="7" max="7" width="12.33203125" style="17" bestFit="1" customWidth="1"/>
    <col min="8" max="8" width="13.6640625" style="17" customWidth="1"/>
    <col min="9" max="9" width="14.109375" style="17" bestFit="1" customWidth="1"/>
    <col min="10" max="10" width="13" style="17" bestFit="1" customWidth="1"/>
    <col min="11" max="11" width="15.88671875" style="17" customWidth="1"/>
    <col min="12" max="13" width="13.5546875" style="17" customWidth="1"/>
    <col min="14" max="14" width="15.33203125" style="17" customWidth="1"/>
    <col min="15" max="15" width="12.6640625" style="17" customWidth="1"/>
    <col min="16" max="16" width="11.44140625" style="17" customWidth="1"/>
    <col min="17" max="17" width="25.6640625" style="17" customWidth="1"/>
    <col min="18" max="18" width="17" style="17" customWidth="1"/>
    <col min="19" max="19" width="8.88671875" style="17" hidden="1" customWidth="1"/>
    <col min="20" max="16384" width="9.109375" style="17"/>
  </cols>
  <sheetData>
    <row r="8" spans="2:18" x14ac:dyDescent="0.3">
      <c r="B8" s="104"/>
      <c r="C8" s="104"/>
      <c r="D8" s="337"/>
      <c r="E8" s="337"/>
      <c r="F8" s="104"/>
      <c r="G8" s="104"/>
      <c r="H8" s="104"/>
      <c r="I8" s="104"/>
      <c r="J8" s="104"/>
      <c r="K8" s="104"/>
      <c r="L8" s="104"/>
      <c r="M8" s="104"/>
      <c r="N8" s="104"/>
      <c r="O8" s="104"/>
      <c r="P8" s="104"/>
      <c r="Q8" s="104"/>
      <c r="R8" s="104"/>
    </row>
    <row r="9" spans="2:18" ht="28.8" x14ac:dyDescent="0.55000000000000004">
      <c r="B9" s="342" t="s">
        <v>191</v>
      </c>
      <c r="C9" s="342"/>
      <c r="D9" s="342"/>
      <c r="E9" s="342"/>
      <c r="F9" s="342"/>
      <c r="G9" s="342"/>
      <c r="H9" s="342"/>
      <c r="I9" s="342"/>
      <c r="J9" s="342"/>
      <c r="K9" s="342"/>
      <c r="L9" s="342"/>
      <c r="M9" s="342"/>
      <c r="N9" s="342"/>
      <c r="O9" s="342"/>
      <c r="P9" s="342"/>
    </row>
    <row r="10" spans="2:18" ht="28.8" x14ac:dyDescent="0.3">
      <c r="B10" s="105" t="s">
        <v>1</v>
      </c>
      <c r="C10" s="338" t="s">
        <v>2</v>
      </c>
      <c r="D10" s="339"/>
      <c r="E10" s="12" t="s">
        <v>3</v>
      </c>
      <c r="F10" s="12" t="s">
        <v>4</v>
      </c>
      <c r="G10" s="13" t="s">
        <v>5</v>
      </c>
      <c r="H10" s="12" t="s">
        <v>192</v>
      </c>
      <c r="I10" s="13" t="s">
        <v>193</v>
      </c>
      <c r="J10" s="13" t="s">
        <v>8</v>
      </c>
      <c r="K10" s="13" t="s">
        <v>9</v>
      </c>
      <c r="L10" s="13" t="s">
        <v>10</v>
      </c>
      <c r="M10" s="13" t="s">
        <v>11</v>
      </c>
      <c r="N10" s="12" t="s">
        <v>12</v>
      </c>
      <c r="O10" s="12" t="s">
        <v>13</v>
      </c>
      <c r="P10" s="14" t="s">
        <v>14</v>
      </c>
      <c r="Q10" s="104"/>
    </row>
    <row r="11" spans="2:18" x14ac:dyDescent="0.3">
      <c r="B11" s="340" t="s">
        <v>194</v>
      </c>
      <c r="C11" s="340" t="s">
        <v>195</v>
      </c>
      <c r="D11" s="35" t="s">
        <v>18</v>
      </c>
      <c r="E11" s="32">
        <f>(2105+265)+500</f>
        <v>2870</v>
      </c>
      <c r="F11" s="32">
        <v>175</v>
      </c>
      <c r="G11" s="32">
        <v>85</v>
      </c>
      <c r="H11" s="32">
        <v>175</v>
      </c>
      <c r="I11" s="32">
        <v>75</v>
      </c>
      <c r="J11" s="32">
        <v>150</v>
      </c>
      <c r="K11" s="56">
        <f t="shared" ref="K11:K16" si="0">SUM(E11:J11)</f>
        <v>3530</v>
      </c>
      <c r="L11" s="32">
        <v>200</v>
      </c>
      <c r="M11" s="56">
        <f>K11+L11</f>
        <v>3730</v>
      </c>
      <c r="N11" s="35" t="s">
        <v>196</v>
      </c>
      <c r="O11" s="23" t="s">
        <v>21</v>
      </c>
      <c r="P11" s="39" t="s">
        <v>25</v>
      </c>
      <c r="Q11" s="104"/>
    </row>
    <row r="12" spans="2:18" x14ac:dyDescent="0.3">
      <c r="B12" s="341"/>
      <c r="C12" s="341"/>
      <c r="D12" s="35" t="s">
        <v>24</v>
      </c>
      <c r="E12" s="32">
        <f>(3000+530)+650</f>
        <v>4180</v>
      </c>
      <c r="F12" s="32">
        <v>235</v>
      </c>
      <c r="G12" s="32">
        <v>85</v>
      </c>
      <c r="H12" s="32">
        <v>175</v>
      </c>
      <c r="I12" s="32">
        <v>150</v>
      </c>
      <c r="J12" s="32">
        <v>300</v>
      </c>
      <c r="K12" s="56">
        <f t="shared" si="0"/>
        <v>5125</v>
      </c>
      <c r="L12" s="32">
        <v>200</v>
      </c>
      <c r="M12" s="56">
        <f t="shared" ref="M12:M16" si="1">K12+L12</f>
        <v>5325</v>
      </c>
      <c r="N12" s="35" t="s">
        <v>196</v>
      </c>
      <c r="O12" s="23" t="s">
        <v>21</v>
      </c>
      <c r="P12" s="57" t="s">
        <v>25</v>
      </c>
      <c r="Q12" s="104"/>
    </row>
    <row r="13" spans="2:18" x14ac:dyDescent="0.3">
      <c r="B13" s="340" t="s">
        <v>197</v>
      </c>
      <c r="C13" s="340" t="s">
        <v>195</v>
      </c>
      <c r="D13" s="35" t="s">
        <v>18</v>
      </c>
      <c r="E13" s="32">
        <f>(2450+265)+500</f>
        <v>3215</v>
      </c>
      <c r="F13" s="32">
        <v>175</v>
      </c>
      <c r="G13" s="32">
        <v>85</v>
      </c>
      <c r="H13" s="32">
        <v>175</v>
      </c>
      <c r="I13" s="32">
        <v>75</v>
      </c>
      <c r="J13" s="32">
        <v>150</v>
      </c>
      <c r="K13" s="56">
        <f t="shared" si="0"/>
        <v>3875</v>
      </c>
      <c r="L13" s="32">
        <v>200</v>
      </c>
      <c r="M13" s="56">
        <f t="shared" si="1"/>
        <v>4075</v>
      </c>
      <c r="N13" s="35" t="s">
        <v>198</v>
      </c>
      <c r="O13" s="23" t="s">
        <v>21</v>
      </c>
      <c r="P13" s="57" t="s">
        <v>25</v>
      </c>
      <c r="Q13" s="104"/>
    </row>
    <row r="14" spans="2:18" x14ac:dyDescent="0.3">
      <c r="B14" s="341"/>
      <c r="C14" s="341"/>
      <c r="D14" s="35" t="s">
        <v>24</v>
      </c>
      <c r="E14" s="32">
        <f>(3745+530)+600</f>
        <v>4875</v>
      </c>
      <c r="F14" s="32">
        <v>235</v>
      </c>
      <c r="G14" s="32">
        <v>85</v>
      </c>
      <c r="H14" s="32">
        <v>175</v>
      </c>
      <c r="I14" s="32">
        <v>150</v>
      </c>
      <c r="J14" s="32">
        <v>300</v>
      </c>
      <c r="K14" s="56">
        <f t="shared" si="0"/>
        <v>5820</v>
      </c>
      <c r="L14" s="32">
        <v>200</v>
      </c>
      <c r="M14" s="56">
        <f t="shared" si="1"/>
        <v>6020</v>
      </c>
      <c r="N14" s="35" t="s">
        <v>163</v>
      </c>
      <c r="O14" s="23" t="s">
        <v>21</v>
      </c>
      <c r="P14" s="57" t="s">
        <v>25</v>
      </c>
      <c r="Q14" s="104"/>
    </row>
    <row r="15" spans="2:18" x14ac:dyDescent="0.3">
      <c r="B15" s="340" t="s">
        <v>138</v>
      </c>
      <c r="C15" s="340" t="s">
        <v>195</v>
      </c>
      <c r="D15" s="35" t="s">
        <v>18</v>
      </c>
      <c r="E15" s="32">
        <f>(2450+265)+500</f>
        <v>3215</v>
      </c>
      <c r="F15" s="32">
        <v>175</v>
      </c>
      <c r="G15" s="32">
        <v>85</v>
      </c>
      <c r="H15" s="32">
        <v>175</v>
      </c>
      <c r="I15" s="32">
        <v>75</v>
      </c>
      <c r="J15" s="32">
        <v>150</v>
      </c>
      <c r="K15" s="56">
        <f t="shared" si="0"/>
        <v>3875</v>
      </c>
      <c r="L15" s="32">
        <v>200</v>
      </c>
      <c r="M15" s="56">
        <f t="shared" si="1"/>
        <v>4075</v>
      </c>
      <c r="N15" s="35" t="s">
        <v>163</v>
      </c>
      <c r="O15" s="23" t="s">
        <v>21</v>
      </c>
      <c r="P15" s="57" t="s">
        <v>25</v>
      </c>
      <c r="Q15" s="104"/>
    </row>
    <row r="16" spans="2:18" x14ac:dyDescent="0.3">
      <c r="B16" s="341"/>
      <c r="C16" s="341"/>
      <c r="D16" s="35" t="s">
        <v>24</v>
      </c>
      <c r="E16" s="32">
        <f>(3745+530)+600</f>
        <v>4875</v>
      </c>
      <c r="F16" s="32">
        <v>235</v>
      </c>
      <c r="G16" s="32">
        <v>85</v>
      </c>
      <c r="H16" s="32">
        <v>175</v>
      </c>
      <c r="I16" s="32">
        <v>150</v>
      </c>
      <c r="J16" s="32">
        <v>300</v>
      </c>
      <c r="K16" s="56">
        <f t="shared" si="0"/>
        <v>5820</v>
      </c>
      <c r="L16" s="32">
        <v>200</v>
      </c>
      <c r="M16" s="56">
        <f t="shared" si="1"/>
        <v>6020</v>
      </c>
      <c r="N16" s="35" t="s">
        <v>29</v>
      </c>
      <c r="O16" s="23" t="s">
        <v>21</v>
      </c>
      <c r="P16" s="57" t="s">
        <v>25</v>
      </c>
      <c r="Q16" s="104"/>
    </row>
    <row r="17" spans="2:17" x14ac:dyDescent="0.3">
      <c r="B17" s="26"/>
      <c r="C17" s="49"/>
      <c r="E17" s="55"/>
      <c r="F17" s="51"/>
      <c r="G17" s="51"/>
      <c r="H17" s="51"/>
      <c r="I17" s="52"/>
      <c r="J17" s="50"/>
      <c r="K17" s="52"/>
      <c r="L17" s="52"/>
      <c r="M17" s="53"/>
      <c r="N17" s="28"/>
    </row>
    <row r="18" spans="2:17" ht="15.6" x14ac:dyDescent="0.3">
      <c r="B18" s="346" t="s">
        <v>34</v>
      </c>
      <c r="C18" s="347"/>
      <c r="D18" s="347"/>
      <c r="E18" s="347"/>
      <c r="F18" s="347"/>
      <c r="G18" s="347"/>
      <c r="H18" s="347"/>
      <c r="I18" s="347"/>
      <c r="J18" s="347"/>
      <c r="K18" s="347"/>
      <c r="L18" s="347"/>
      <c r="M18" s="347"/>
      <c r="N18" s="347"/>
      <c r="O18" s="347"/>
      <c r="P18" s="348"/>
    </row>
    <row r="19" spans="2:17" ht="14.4" customHeight="1" x14ac:dyDescent="0.3">
      <c r="B19" s="309" t="s">
        <v>35</v>
      </c>
      <c r="C19" s="310"/>
      <c r="D19" s="310"/>
      <c r="E19" s="310"/>
      <c r="F19" s="310"/>
      <c r="G19" s="310"/>
      <c r="H19" s="310"/>
      <c r="I19" s="310"/>
      <c r="J19" s="310"/>
      <c r="K19" s="310"/>
      <c r="L19" s="310"/>
      <c r="M19" s="310"/>
      <c r="N19" s="310"/>
      <c r="O19" s="310"/>
      <c r="P19" s="311"/>
    </row>
    <row r="20" spans="2:17" x14ac:dyDescent="0.3">
      <c r="B20" s="312"/>
      <c r="C20" s="237"/>
      <c r="D20" s="237"/>
      <c r="E20" s="237"/>
      <c r="F20" s="237"/>
      <c r="G20" s="237"/>
      <c r="H20" s="237"/>
      <c r="I20" s="237"/>
      <c r="J20" s="237"/>
      <c r="K20" s="237"/>
      <c r="L20" s="237"/>
      <c r="M20" s="237"/>
      <c r="N20" s="237"/>
      <c r="O20" s="237"/>
      <c r="P20" s="313"/>
    </row>
    <row r="21" spans="2:17" x14ac:dyDescent="0.3">
      <c r="B21" s="312"/>
      <c r="C21" s="237"/>
      <c r="D21" s="237"/>
      <c r="E21" s="237"/>
      <c r="F21" s="237"/>
      <c r="G21" s="237"/>
      <c r="H21" s="237"/>
      <c r="I21" s="237"/>
      <c r="J21" s="237"/>
      <c r="K21" s="237"/>
      <c r="L21" s="237"/>
      <c r="M21" s="237"/>
      <c r="N21" s="237"/>
      <c r="O21" s="237"/>
      <c r="P21" s="313"/>
    </row>
    <row r="22" spans="2:17" x14ac:dyDescent="0.3">
      <c r="B22" s="314"/>
      <c r="C22" s="315"/>
      <c r="D22" s="315"/>
      <c r="E22" s="315"/>
      <c r="F22" s="315"/>
      <c r="G22" s="315"/>
      <c r="H22" s="315"/>
      <c r="I22" s="315"/>
      <c r="J22" s="315"/>
      <c r="K22" s="315"/>
      <c r="L22" s="315"/>
      <c r="M22" s="315"/>
      <c r="N22" s="315"/>
      <c r="O22" s="315"/>
      <c r="P22" s="316"/>
    </row>
    <row r="23" spans="2:17" x14ac:dyDescent="0.3">
      <c r="B23" s="26"/>
      <c r="C23" s="49"/>
      <c r="E23" s="55"/>
      <c r="F23" s="51"/>
      <c r="G23" s="51"/>
      <c r="H23" s="51"/>
      <c r="I23" s="52"/>
      <c r="J23" s="50"/>
      <c r="K23" s="52"/>
      <c r="L23" s="52"/>
      <c r="M23" s="53"/>
      <c r="N23" s="28"/>
    </row>
    <row r="24" spans="2:17" x14ac:dyDescent="0.3">
      <c r="B24" s="26"/>
      <c r="C24" s="49"/>
      <c r="D24" s="106"/>
      <c r="E24" s="55"/>
      <c r="F24" s="51"/>
      <c r="G24" s="51"/>
      <c r="H24" s="51"/>
      <c r="I24" s="52"/>
      <c r="J24" s="50"/>
      <c r="K24" s="52"/>
      <c r="L24" s="52"/>
      <c r="M24" s="53"/>
      <c r="N24" s="28"/>
    </row>
    <row r="25" spans="2:17" x14ac:dyDescent="0.3">
      <c r="B25" s="26"/>
      <c r="C25" s="49"/>
      <c r="E25" s="55"/>
      <c r="F25" s="51"/>
      <c r="G25" s="51"/>
      <c r="H25" s="51"/>
      <c r="I25" s="52"/>
      <c r="J25" s="50"/>
      <c r="K25" s="52"/>
      <c r="L25" s="52"/>
      <c r="M25" s="53"/>
      <c r="N25" s="28"/>
    </row>
    <row r="26" spans="2:17" x14ac:dyDescent="0.3">
      <c r="B26" s="26"/>
      <c r="C26" s="49"/>
      <c r="E26" s="55"/>
      <c r="F26" s="51"/>
      <c r="G26" s="51"/>
      <c r="H26" s="51"/>
      <c r="I26" s="52"/>
      <c r="J26" s="50"/>
      <c r="K26" s="52"/>
      <c r="L26" s="52"/>
      <c r="M26" s="53"/>
      <c r="N26" s="28"/>
    </row>
    <row r="27" spans="2:17" x14ac:dyDescent="0.3">
      <c r="B27" s="26"/>
      <c r="C27" s="49"/>
      <c r="E27" s="55"/>
      <c r="F27" s="51"/>
      <c r="G27" s="51"/>
      <c r="H27" s="51"/>
      <c r="I27" s="52"/>
      <c r="J27" s="50"/>
      <c r="K27" s="52"/>
      <c r="L27" s="52"/>
      <c r="M27" s="53"/>
      <c r="N27" s="28"/>
    </row>
    <row r="28" spans="2:17" x14ac:dyDescent="0.3">
      <c r="B28" s="26"/>
      <c r="C28" s="49"/>
      <c r="E28" s="55"/>
      <c r="F28" s="51"/>
      <c r="G28" s="51"/>
      <c r="H28" s="51"/>
      <c r="I28" s="52"/>
      <c r="J28" s="50"/>
      <c r="K28" s="52"/>
      <c r="L28" s="52"/>
      <c r="M28" s="53"/>
      <c r="N28" s="28"/>
    </row>
    <row r="29" spans="2:17" x14ac:dyDescent="0.3">
      <c r="B29" s="26"/>
      <c r="C29" s="49"/>
      <c r="E29" s="55"/>
      <c r="F29" s="51"/>
      <c r="G29" s="51"/>
      <c r="H29" s="51"/>
      <c r="I29" s="52"/>
      <c r="J29" s="50"/>
      <c r="K29" s="52"/>
      <c r="L29" s="52"/>
      <c r="M29" s="53"/>
      <c r="N29" s="28"/>
    </row>
    <row r="30" spans="2:17" x14ac:dyDescent="0.3">
      <c r="B30" s="26"/>
      <c r="C30" s="49"/>
      <c r="E30" s="55"/>
      <c r="F30" s="51"/>
      <c r="G30" s="51"/>
      <c r="H30" s="51"/>
      <c r="I30" s="52"/>
      <c r="J30" s="50"/>
      <c r="K30" s="52"/>
      <c r="L30" s="52"/>
      <c r="M30" s="53"/>
      <c r="N30" s="28"/>
    </row>
    <row r="31" spans="2:17" x14ac:dyDescent="0.3">
      <c r="B31" s="26"/>
      <c r="C31" s="49"/>
      <c r="E31" s="55"/>
      <c r="F31" s="51"/>
      <c r="G31" s="51"/>
      <c r="H31" s="51"/>
      <c r="I31" s="52"/>
      <c r="J31" s="50"/>
      <c r="K31" s="52"/>
      <c r="L31" s="52"/>
      <c r="M31" s="53"/>
      <c r="N31" s="28"/>
    </row>
    <row r="32" spans="2:17" ht="28.8" x14ac:dyDescent="0.55000000000000004">
      <c r="B32" s="343" t="s">
        <v>199</v>
      </c>
      <c r="C32" s="344"/>
      <c r="D32" s="344"/>
      <c r="E32" s="344"/>
      <c r="F32" s="344"/>
      <c r="G32" s="344"/>
      <c r="H32" s="344"/>
      <c r="I32" s="344"/>
      <c r="J32" s="344"/>
      <c r="K32" s="344"/>
      <c r="L32" s="344"/>
      <c r="M32" s="344"/>
      <c r="N32" s="344"/>
      <c r="O32" s="344"/>
      <c r="P32" s="344"/>
      <c r="Q32" s="345"/>
    </row>
    <row r="33" spans="2:19" ht="28.8" x14ac:dyDescent="0.3">
      <c r="B33" s="105" t="s">
        <v>1</v>
      </c>
      <c r="C33" s="349" t="s">
        <v>2</v>
      </c>
      <c r="D33" s="349"/>
      <c r="E33" s="105" t="s">
        <v>141</v>
      </c>
      <c r="F33" s="105" t="s">
        <v>142</v>
      </c>
      <c r="G33" s="11" t="s">
        <v>106</v>
      </c>
      <c r="H33" s="11" t="s">
        <v>200</v>
      </c>
      <c r="I33" s="11" t="s">
        <v>201</v>
      </c>
      <c r="J33" s="11" t="s">
        <v>9</v>
      </c>
      <c r="K33" s="11" t="s">
        <v>202</v>
      </c>
      <c r="L33" s="11" t="s">
        <v>11</v>
      </c>
      <c r="M33" s="105" t="s">
        <v>12</v>
      </c>
      <c r="N33" s="105" t="s">
        <v>13</v>
      </c>
      <c r="O33" s="105" t="s">
        <v>14</v>
      </c>
      <c r="P33" s="246" t="s">
        <v>38</v>
      </c>
      <c r="Q33" s="247"/>
      <c r="S33" s="99" t="s">
        <v>15</v>
      </c>
    </row>
    <row r="34" spans="2:19" ht="14.4" customHeight="1" x14ac:dyDescent="0.3">
      <c r="B34" s="354" t="s">
        <v>203</v>
      </c>
      <c r="C34" s="355" t="s">
        <v>195</v>
      </c>
      <c r="D34" s="34" t="s">
        <v>18</v>
      </c>
      <c r="E34" s="30">
        <v>4000</v>
      </c>
      <c r="F34" s="30">
        <v>245</v>
      </c>
      <c r="G34" s="30">
        <v>165</v>
      </c>
      <c r="H34" s="30">
        <v>175</v>
      </c>
      <c r="I34" s="30">
        <v>75</v>
      </c>
      <c r="J34" s="82">
        <f>SUM(E34:I34)</f>
        <v>4660</v>
      </c>
      <c r="K34" s="30">
        <v>200</v>
      </c>
      <c r="L34" s="82">
        <f t="shared" ref="L34:L38" si="2">J34+K34</f>
        <v>4860</v>
      </c>
      <c r="M34" s="83">
        <v>35</v>
      </c>
      <c r="N34" s="23" t="s">
        <v>21</v>
      </c>
      <c r="O34" s="34" t="s">
        <v>108</v>
      </c>
      <c r="P34" s="299" t="s">
        <v>204</v>
      </c>
      <c r="Q34" s="300"/>
      <c r="S34" s="42" t="s">
        <v>205</v>
      </c>
    </row>
    <row r="35" spans="2:19" x14ac:dyDescent="0.3">
      <c r="B35" s="354"/>
      <c r="C35" s="355"/>
      <c r="D35" s="34" t="s">
        <v>24</v>
      </c>
      <c r="E35" s="30">
        <v>4200</v>
      </c>
      <c r="F35" s="30">
        <v>245</v>
      </c>
      <c r="G35" s="30">
        <v>165</v>
      </c>
      <c r="H35" s="30">
        <v>175</v>
      </c>
      <c r="I35" s="30">
        <v>150</v>
      </c>
      <c r="J35" s="82">
        <f t="shared" ref="J35:J37" si="3">SUM(E35:I35)</f>
        <v>4935</v>
      </c>
      <c r="K35" s="30">
        <v>200</v>
      </c>
      <c r="L35" s="82">
        <f t="shared" si="2"/>
        <v>5135</v>
      </c>
      <c r="M35" s="83">
        <v>35</v>
      </c>
      <c r="N35" s="23" t="s">
        <v>21</v>
      </c>
      <c r="O35" s="34" t="s">
        <v>108</v>
      </c>
      <c r="P35" s="332"/>
      <c r="Q35" s="334"/>
      <c r="S35" s="42" t="s">
        <v>205</v>
      </c>
    </row>
    <row r="36" spans="2:19" hidden="1" x14ac:dyDescent="0.3">
      <c r="B36" s="356" t="s">
        <v>206</v>
      </c>
      <c r="C36" s="355" t="s">
        <v>195</v>
      </c>
      <c r="D36" s="34" t="s">
        <v>18</v>
      </c>
      <c r="E36" s="30">
        <v>5450</v>
      </c>
      <c r="F36" s="30">
        <v>100</v>
      </c>
      <c r="G36" s="30">
        <v>165</v>
      </c>
      <c r="H36" s="30">
        <v>175</v>
      </c>
      <c r="I36" s="30">
        <v>75</v>
      </c>
      <c r="J36" s="82">
        <f>SUM(E36:I36)</f>
        <v>5965</v>
      </c>
      <c r="K36" s="30">
        <v>200</v>
      </c>
      <c r="L36" s="82">
        <f t="shared" si="2"/>
        <v>6165</v>
      </c>
      <c r="M36" s="83">
        <v>28</v>
      </c>
      <c r="N36" s="23" t="s">
        <v>207</v>
      </c>
      <c r="O36" s="34" t="s">
        <v>208</v>
      </c>
      <c r="P36" s="332"/>
      <c r="Q36" s="334"/>
      <c r="S36" s="42" t="s">
        <v>209</v>
      </c>
    </row>
    <row r="37" spans="2:19" hidden="1" x14ac:dyDescent="0.3">
      <c r="B37" s="356"/>
      <c r="C37" s="355"/>
      <c r="D37" s="34" t="s">
        <v>24</v>
      </c>
      <c r="E37" s="30">
        <v>5850</v>
      </c>
      <c r="F37" s="30">
        <v>100</v>
      </c>
      <c r="G37" s="30">
        <v>165</v>
      </c>
      <c r="H37" s="30">
        <v>175</v>
      </c>
      <c r="I37" s="30">
        <v>150</v>
      </c>
      <c r="J37" s="82">
        <f t="shared" si="3"/>
        <v>6440</v>
      </c>
      <c r="K37" s="30">
        <v>200</v>
      </c>
      <c r="L37" s="82">
        <f t="shared" si="2"/>
        <v>6640</v>
      </c>
      <c r="M37" s="83">
        <v>28</v>
      </c>
      <c r="N37" s="23" t="s">
        <v>207</v>
      </c>
      <c r="O37" s="34" t="s">
        <v>208</v>
      </c>
      <c r="P37" s="332"/>
      <c r="Q37" s="334"/>
    </row>
    <row r="38" spans="2:19" x14ac:dyDescent="0.3">
      <c r="B38" s="97" t="s">
        <v>210</v>
      </c>
      <c r="C38" s="34" t="s">
        <v>195</v>
      </c>
      <c r="D38" s="34" t="s">
        <v>18</v>
      </c>
      <c r="E38" s="129">
        <v>3100</v>
      </c>
      <c r="F38" s="30" t="s">
        <v>211</v>
      </c>
      <c r="G38" s="30">
        <v>175</v>
      </c>
      <c r="H38" s="30">
        <v>175</v>
      </c>
      <c r="I38" s="30">
        <v>75</v>
      </c>
      <c r="J38" s="82">
        <f>SUM(E38:I38)</f>
        <v>3525</v>
      </c>
      <c r="K38" s="30">
        <v>200</v>
      </c>
      <c r="L38" s="82">
        <f t="shared" si="2"/>
        <v>3725</v>
      </c>
      <c r="M38" s="83">
        <v>35</v>
      </c>
      <c r="N38" s="23" t="s">
        <v>21</v>
      </c>
      <c r="O38" s="34" t="s">
        <v>46</v>
      </c>
      <c r="P38" s="301"/>
      <c r="Q38" s="302"/>
      <c r="S38" s="42" t="s">
        <v>150</v>
      </c>
    </row>
    <row r="39" spans="2:19" x14ac:dyDescent="0.3">
      <c r="B39" s="61"/>
      <c r="C39" s="104"/>
      <c r="D39" s="104"/>
      <c r="E39" s="37"/>
      <c r="F39" s="37"/>
      <c r="G39" s="37"/>
      <c r="H39" s="37"/>
      <c r="I39" s="37"/>
      <c r="J39" s="59"/>
      <c r="K39" s="37"/>
      <c r="L39" s="37"/>
      <c r="M39" s="59"/>
      <c r="N39" s="38"/>
      <c r="O39" s="60"/>
      <c r="P39" s="104"/>
    </row>
    <row r="40" spans="2:19" x14ac:dyDescent="0.3">
      <c r="B40" s="36"/>
      <c r="E40" s="37"/>
      <c r="F40" s="37"/>
      <c r="G40" s="37"/>
      <c r="H40" s="37"/>
      <c r="I40" s="52"/>
      <c r="J40" s="50"/>
      <c r="K40" s="52"/>
      <c r="L40" s="52"/>
      <c r="M40" s="104"/>
      <c r="N40" s="28"/>
      <c r="O40" s="104"/>
    </row>
    <row r="41" spans="2:19" ht="15.6" x14ac:dyDescent="0.3">
      <c r="B41" s="5" t="s">
        <v>34</v>
      </c>
      <c r="C41" s="6"/>
      <c r="D41" s="6"/>
      <c r="E41" s="6"/>
      <c r="F41" s="6"/>
      <c r="G41" s="6"/>
      <c r="H41" s="6"/>
      <c r="I41" s="6"/>
      <c r="J41" s="6"/>
      <c r="K41" s="6"/>
      <c r="L41" s="6"/>
      <c r="M41" s="6"/>
      <c r="N41" s="6"/>
      <c r="O41" s="6"/>
      <c r="P41" s="7"/>
    </row>
    <row r="42" spans="2:19" x14ac:dyDescent="0.3">
      <c r="B42" s="227" t="s">
        <v>35</v>
      </c>
      <c r="C42" s="228"/>
      <c r="D42" s="228"/>
      <c r="E42" s="228"/>
      <c r="F42" s="228"/>
      <c r="G42" s="228"/>
      <c r="H42" s="228"/>
      <c r="I42" s="228"/>
      <c r="J42" s="228"/>
      <c r="K42" s="228"/>
      <c r="L42" s="228"/>
      <c r="M42" s="228"/>
      <c r="N42" s="228"/>
      <c r="O42" s="228"/>
      <c r="P42" s="229"/>
    </row>
    <row r="43" spans="2:19" x14ac:dyDescent="0.3">
      <c r="B43" s="227"/>
      <c r="C43" s="228"/>
      <c r="D43" s="228"/>
      <c r="E43" s="228"/>
      <c r="F43" s="228"/>
      <c r="G43" s="228"/>
      <c r="H43" s="228"/>
      <c r="I43" s="228"/>
      <c r="J43" s="228"/>
      <c r="K43" s="228"/>
      <c r="L43" s="228"/>
      <c r="M43" s="228"/>
      <c r="N43" s="228"/>
      <c r="O43" s="228"/>
      <c r="P43" s="229"/>
    </row>
    <row r="44" spans="2:19" x14ac:dyDescent="0.3">
      <c r="B44" s="227"/>
      <c r="C44" s="228"/>
      <c r="D44" s="228"/>
      <c r="E44" s="228"/>
      <c r="F44" s="228"/>
      <c r="G44" s="228"/>
      <c r="H44" s="228"/>
      <c r="I44" s="228"/>
      <c r="J44" s="228"/>
      <c r="K44" s="228"/>
      <c r="L44" s="228"/>
      <c r="M44" s="228"/>
      <c r="N44" s="228"/>
      <c r="O44" s="228"/>
      <c r="P44" s="229"/>
    </row>
    <row r="45" spans="2:19" x14ac:dyDescent="0.3">
      <c r="B45" s="230"/>
      <c r="C45" s="231"/>
      <c r="D45" s="231"/>
      <c r="E45" s="231"/>
      <c r="F45" s="231"/>
      <c r="G45" s="231"/>
      <c r="H45" s="231"/>
      <c r="I45" s="231"/>
      <c r="J45" s="231"/>
      <c r="K45" s="231"/>
      <c r="L45" s="231"/>
      <c r="M45" s="231"/>
      <c r="N45" s="231"/>
      <c r="O45" s="231"/>
      <c r="P45" s="232"/>
    </row>
    <row r="46" spans="2:19" x14ac:dyDescent="0.3">
      <c r="B46" s="36"/>
      <c r="E46" s="37"/>
      <c r="F46" s="37"/>
      <c r="G46" s="37"/>
      <c r="H46" s="37"/>
      <c r="I46" s="52"/>
      <c r="J46" s="50"/>
      <c r="K46" s="52"/>
      <c r="L46" s="52"/>
      <c r="M46" s="104"/>
      <c r="N46" s="28"/>
      <c r="O46" s="104"/>
    </row>
    <row r="47" spans="2:19" x14ac:dyDescent="0.3">
      <c r="B47" s="36"/>
      <c r="E47" s="37"/>
      <c r="F47" s="37"/>
      <c r="G47" s="37"/>
      <c r="H47" s="37"/>
      <c r="I47" s="52"/>
      <c r="J47" s="50"/>
      <c r="K47" s="52"/>
      <c r="L47" s="52"/>
      <c r="M47" s="104"/>
      <c r="N47" s="28"/>
      <c r="O47" s="104"/>
    </row>
    <row r="48" spans="2:19" x14ac:dyDescent="0.3">
      <c r="B48" s="36"/>
      <c r="E48" s="37"/>
      <c r="F48" s="37"/>
      <c r="G48" s="37"/>
      <c r="H48" s="37"/>
      <c r="I48" s="52"/>
      <c r="J48" s="50"/>
      <c r="K48" s="52"/>
      <c r="L48" s="52"/>
      <c r="M48" s="104"/>
      <c r="N48" s="28"/>
      <c r="O48" s="104"/>
    </row>
    <row r="49" spans="2:19" x14ac:dyDescent="0.3">
      <c r="B49" s="36"/>
      <c r="E49" s="37"/>
      <c r="F49" s="37"/>
      <c r="G49" s="37"/>
      <c r="H49" s="37"/>
      <c r="I49" s="52"/>
      <c r="J49" s="50"/>
      <c r="K49" s="52"/>
      <c r="L49" s="52"/>
      <c r="M49" s="104"/>
      <c r="N49" s="28"/>
      <c r="O49" s="104"/>
    </row>
    <row r="50" spans="2:19" x14ac:dyDescent="0.3">
      <c r="B50" s="36"/>
      <c r="E50" s="37"/>
      <c r="F50" s="37"/>
      <c r="G50" s="37"/>
      <c r="H50" s="37"/>
      <c r="I50" s="52"/>
      <c r="J50" s="50"/>
      <c r="K50" s="52"/>
      <c r="L50" s="52"/>
      <c r="M50" s="104"/>
      <c r="N50" s="28"/>
      <c r="O50" s="104"/>
    </row>
    <row r="51" spans="2:19" x14ac:dyDescent="0.3">
      <c r="B51" s="36"/>
      <c r="E51" s="37"/>
      <c r="F51" s="37"/>
      <c r="G51" s="37"/>
      <c r="H51" s="37"/>
      <c r="I51" s="52"/>
      <c r="J51" s="50"/>
      <c r="K51" s="52"/>
      <c r="L51" s="52"/>
      <c r="M51" s="104"/>
      <c r="N51" s="28"/>
      <c r="O51" s="104"/>
    </row>
    <row r="52" spans="2:19" x14ac:dyDescent="0.3">
      <c r="B52" s="36"/>
      <c r="E52" s="37"/>
      <c r="F52" s="37"/>
      <c r="G52" s="37"/>
      <c r="H52" s="37"/>
      <c r="I52" s="52"/>
      <c r="J52" s="50"/>
      <c r="K52" s="52"/>
      <c r="L52" s="52"/>
      <c r="M52" s="104"/>
      <c r="N52" s="28"/>
      <c r="O52" s="104"/>
    </row>
    <row r="53" spans="2:19" ht="15" thickBot="1" x14ac:dyDescent="0.35">
      <c r="B53" s="36"/>
      <c r="E53" s="37"/>
      <c r="F53" s="37"/>
      <c r="G53" s="37"/>
      <c r="H53" s="37"/>
      <c r="I53" s="52"/>
      <c r="J53" s="50"/>
      <c r="K53" s="52"/>
      <c r="L53" s="52"/>
      <c r="M53" s="104"/>
      <c r="N53" s="28"/>
      <c r="O53" s="104"/>
    </row>
    <row r="54" spans="2:19" ht="28.8" x14ac:dyDescent="0.55000000000000004">
      <c r="B54" s="351" t="s">
        <v>212</v>
      </c>
      <c r="C54" s="352"/>
      <c r="D54" s="352"/>
      <c r="E54" s="352"/>
      <c r="F54" s="352"/>
      <c r="G54" s="352"/>
      <c r="H54" s="352"/>
      <c r="I54" s="352"/>
      <c r="J54" s="352"/>
      <c r="K54" s="352"/>
      <c r="L54" s="352"/>
      <c r="M54" s="352"/>
      <c r="N54" s="352"/>
      <c r="O54" s="352"/>
      <c r="P54" s="352"/>
      <c r="Q54" s="353"/>
    </row>
    <row r="55" spans="2:19" ht="28.8" x14ac:dyDescent="0.3">
      <c r="B55" s="72" t="s">
        <v>1</v>
      </c>
      <c r="C55" s="224" t="s">
        <v>2</v>
      </c>
      <c r="D55" s="224"/>
      <c r="E55" s="98" t="s">
        <v>3</v>
      </c>
      <c r="F55" s="98" t="s">
        <v>4</v>
      </c>
      <c r="G55" s="98" t="s">
        <v>200</v>
      </c>
      <c r="H55" s="98" t="s">
        <v>153</v>
      </c>
      <c r="I55" s="3" t="s">
        <v>201</v>
      </c>
      <c r="J55" s="3" t="s">
        <v>52</v>
      </c>
      <c r="K55" s="3" t="s">
        <v>9</v>
      </c>
      <c r="L55" s="3" t="s">
        <v>10</v>
      </c>
      <c r="M55" s="3" t="s">
        <v>11</v>
      </c>
      <c r="N55" s="3" t="s">
        <v>12</v>
      </c>
      <c r="O55" s="98" t="s">
        <v>13</v>
      </c>
      <c r="P55" s="98" t="s">
        <v>14</v>
      </c>
      <c r="Q55" s="99" t="s">
        <v>155</v>
      </c>
      <c r="S55" s="99" t="s">
        <v>15</v>
      </c>
    </row>
    <row r="56" spans="2:19" ht="28.8" hidden="1" x14ac:dyDescent="0.3">
      <c r="B56" s="225" t="s">
        <v>213</v>
      </c>
      <c r="C56" s="350" t="s">
        <v>195</v>
      </c>
      <c r="D56" s="42" t="s">
        <v>18</v>
      </c>
      <c r="E56" s="62">
        <v>9950</v>
      </c>
      <c r="F56" s="45">
        <v>200</v>
      </c>
      <c r="G56" s="43">
        <v>175</v>
      </c>
      <c r="H56" s="43">
        <v>275</v>
      </c>
      <c r="I56" s="43">
        <v>75</v>
      </c>
      <c r="J56" s="43">
        <v>50</v>
      </c>
      <c r="K56" s="47">
        <f t="shared" ref="K56:K59" si="4">SUM(E56:J56)</f>
        <v>10725</v>
      </c>
      <c r="L56" s="45">
        <v>200</v>
      </c>
      <c r="M56" s="47">
        <f t="shared" ref="M56:M57" si="5">SUM(J56:L56)</f>
        <v>10975</v>
      </c>
      <c r="N56" s="48" t="s">
        <v>173</v>
      </c>
      <c r="O56" s="120" t="s">
        <v>214</v>
      </c>
      <c r="P56" s="42" t="s">
        <v>74</v>
      </c>
      <c r="Q56" s="87" t="s">
        <v>215</v>
      </c>
      <c r="S56" s="42" t="s">
        <v>216</v>
      </c>
    </row>
    <row r="57" spans="2:19" ht="28.8" hidden="1" x14ac:dyDescent="0.3">
      <c r="B57" s="225"/>
      <c r="C57" s="350"/>
      <c r="D57" s="42" t="s">
        <v>24</v>
      </c>
      <c r="E57" s="62">
        <v>10000</v>
      </c>
      <c r="F57" s="45">
        <v>200</v>
      </c>
      <c r="G57" s="43">
        <v>175</v>
      </c>
      <c r="H57" s="43">
        <v>275</v>
      </c>
      <c r="I57" s="43">
        <v>150</v>
      </c>
      <c r="J57" s="43">
        <v>50</v>
      </c>
      <c r="K57" s="47">
        <f t="shared" si="4"/>
        <v>10850</v>
      </c>
      <c r="L57" s="45">
        <v>200</v>
      </c>
      <c r="M57" s="47">
        <f t="shared" si="5"/>
        <v>11100</v>
      </c>
      <c r="N57" s="48" t="s">
        <v>113</v>
      </c>
      <c r="O57" s="120" t="s">
        <v>214</v>
      </c>
      <c r="P57" s="42" t="s">
        <v>74</v>
      </c>
      <c r="Q57" s="87" t="s">
        <v>215</v>
      </c>
      <c r="S57" s="42" t="s">
        <v>216</v>
      </c>
    </row>
    <row r="58" spans="2:19" ht="40.950000000000003" customHeight="1" x14ac:dyDescent="0.3">
      <c r="B58" s="225" t="s">
        <v>217</v>
      </c>
      <c r="C58" s="350" t="s">
        <v>195</v>
      </c>
      <c r="D58" s="42" t="s">
        <v>18</v>
      </c>
      <c r="E58" s="62">
        <f>CEILING((((7750+40+115)*1.12))-150,50)</f>
        <v>8750</v>
      </c>
      <c r="F58" s="45">
        <v>160</v>
      </c>
      <c r="G58" s="43">
        <v>175</v>
      </c>
      <c r="H58" s="43">
        <v>215</v>
      </c>
      <c r="I58" s="43">
        <v>75</v>
      </c>
      <c r="J58" s="43">
        <v>50</v>
      </c>
      <c r="K58" s="47">
        <f t="shared" si="4"/>
        <v>9425</v>
      </c>
      <c r="L58" s="45">
        <v>200</v>
      </c>
      <c r="M58" s="131">
        <f>SUM(K58:L58)</f>
        <v>9625</v>
      </c>
      <c r="N58" s="48" t="s">
        <v>173</v>
      </c>
      <c r="O58" s="175" t="s">
        <v>158</v>
      </c>
      <c r="P58" s="42" t="s">
        <v>66</v>
      </c>
      <c r="Q58" s="87" t="s">
        <v>218</v>
      </c>
      <c r="S58" s="42" t="s">
        <v>209</v>
      </c>
    </row>
    <row r="59" spans="2:19" ht="42" customHeight="1" thickBot="1" x14ac:dyDescent="0.35">
      <c r="B59" s="225"/>
      <c r="C59" s="350"/>
      <c r="D59" s="42" t="s">
        <v>24</v>
      </c>
      <c r="E59" s="62">
        <f>CEILING((((8600+80+115)*1.12))-150,50)</f>
        <v>9750</v>
      </c>
      <c r="F59" s="45">
        <v>160</v>
      </c>
      <c r="G59" s="43">
        <v>175</v>
      </c>
      <c r="H59" s="43">
        <v>215</v>
      </c>
      <c r="I59" s="43">
        <v>150</v>
      </c>
      <c r="J59" s="43">
        <v>50</v>
      </c>
      <c r="K59" s="47">
        <f t="shared" si="4"/>
        <v>10500</v>
      </c>
      <c r="L59" s="45">
        <v>200</v>
      </c>
      <c r="M59" s="131">
        <f>SUM(K59:L59)</f>
        <v>10700</v>
      </c>
      <c r="N59" s="48" t="s">
        <v>173</v>
      </c>
      <c r="O59" s="175" t="s">
        <v>158</v>
      </c>
      <c r="P59" s="42" t="s">
        <v>66</v>
      </c>
      <c r="Q59" s="87" t="s">
        <v>218</v>
      </c>
      <c r="S59" s="42" t="s">
        <v>209</v>
      </c>
    </row>
    <row r="60" spans="2:19" ht="28.8" x14ac:dyDescent="0.55000000000000004">
      <c r="B60" s="351" t="s">
        <v>219</v>
      </c>
      <c r="C60" s="352"/>
      <c r="D60" s="352"/>
      <c r="E60" s="352"/>
      <c r="F60" s="352"/>
      <c r="G60" s="352"/>
      <c r="H60" s="352"/>
      <c r="I60" s="352"/>
      <c r="J60" s="352"/>
      <c r="K60" s="352"/>
      <c r="L60" s="352"/>
      <c r="M60" s="352"/>
      <c r="N60" s="352"/>
      <c r="O60" s="352"/>
      <c r="P60" s="352"/>
      <c r="Q60" s="353"/>
      <c r="S60" s="42"/>
    </row>
    <row r="61" spans="2:19" ht="28.8" x14ac:dyDescent="0.3">
      <c r="B61" s="72" t="s">
        <v>1</v>
      </c>
      <c r="C61" s="224" t="s">
        <v>2</v>
      </c>
      <c r="D61" s="224"/>
      <c r="E61" s="98" t="s">
        <v>3</v>
      </c>
      <c r="F61" s="98" t="s">
        <v>4</v>
      </c>
      <c r="G61" s="98" t="s">
        <v>200</v>
      </c>
      <c r="H61" s="98" t="s">
        <v>153</v>
      </c>
      <c r="I61" s="3" t="s">
        <v>201</v>
      </c>
      <c r="J61" s="3" t="s">
        <v>52</v>
      </c>
      <c r="K61" s="3" t="s">
        <v>9</v>
      </c>
      <c r="L61" s="3" t="s">
        <v>10</v>
      </c>
      <c r="M61" s="3" t="s">
        <v>11</v>
      </c>
      <c r="N61" s="3" t="s">
        <v>12</v>
      </c>
      <c r="O61" s="98" t="s">
        <v>13</v>
      </c>
      <c r="P61" s="98" t="s">
        <v>14</v>
      </c>
      <c r="Q61" s="99" t="s">
        <v>155</v>
      </c>
      <c r="S61" s="42"/>
    </row>
    <row r="62" spans="2:19" ht="28.95" customHeight="1" x14ac:dyDescent="0.3">
      <c r="B62" s="225" t="s">
        <v>81</v>
      </c>
      <c r="C62" s="350" t="s">
        <v>195</v>
      </c>
      <c r="D62" s="42" t="s">
        <v>18</v>
      </c>
      <c r="E62" s="62">
        <f>CEILING((((7950+40+115)*1.12))-150,50)</f>
        <v>8950</v>
      </c>
      <c r="F62" s="135">
        <v>130</v>
      </c>
      <c r="G62" s="136">
        <v>175</v>
      </c>
      <c r="H62" s="136">
        <v>275</v>
      </c>
      <c r="I62" s="136">
        <v>75</v>
      </c>
      <c r="J62" s="136">
        <v>50</v>
      </c>
      <c r="K62" s="131">
        <f t="shared" ref="K62:K63" si="6">SUM(E62:J62)</f>
        <v>9655</v>
      </c>
      <c r="L62" s="130">
        <v>200</v>
      </c>
      <c r="M62" s="131">
        <f>SUM(K62:L62)</f>
        <v>9855</v>
      </c>
      <c r="N62" s="132" t="s">
        <v>173</v>
      </c>
      <c r="O62" s="175" t="s">
        <v>158</v>
      </c>
      <c r="P62" s="42" t="s">
        <v>66</v>
      </c>
      <c r="Q62" s="360" t="s">
        <v>220</v>
      </c>
      <c r="S62" s="42" t="s">
        <v>221</v>
      </c>
    </row>
    <row r="63" spans="2:19" x14ac:dyDescent="0.3">
      <c r="B63" s="225"/>
      <c r="C63" s="350"/>
      <c r="D63" s="42" t="s">
        <v>24</v>
      </c>
      <c r="E63" s="62">
        <f>CEILING((((8800+80+115)*1.12))-150,50)</f>
        <v>9950</v>
      </c>
      <c r="F63" s="135">
        <v>160</v>
      </c>
      <c r="G63" s="136">
        <v>175</v>
      </c>
      <c r="H63" s="136">
        <v>275</v>
      </c>
      <c r="I63" s="136">
        <v>150</v>
      </c>
      <c r="J63" s="136">
        <v>50</v>
      </c>
      <c r="K63" s="131">
        <f t="shared" si="6"/>
        <v>10760</v>
      </c>
      <c r="L63" s="130">
        <v>200</v>
      </c>
      <c r="M63" s="131">
        <f>SUM(K63:L63)</f>
        <v>10960</v>
      </c>
      <c r="N63" s="132" t="s">
        <v>173</v>
      </c>
      <c r="O63" s="175" t="s">
        <v>158</v>
      </c>
      <c r="P63" s="42" t="s">
        <v>66</v>
      </c>
      <c r="Q63" s="361"/>
      <c r="S63" s="42" t="s">
        <v>221</v>
      </c>
    </row>
    <row r="64" spans="2:19" ht="28.8" x14ac:dyDescent="0.55000000000000004">
      <c r="B64" s="357" t="s">
        <v>222</v>
      </c>
      <c r="C64" s="344"/>
      <c r="D64" s="344"/>
      <c r="E64" s="344"/>
      <c r="F64" s="344"/>
      <c r="G64" s="344"/>
      <c r="H64" s="344"/>
      <c r="I64" s="344"/>
      <c r="J64" s="344"/>
      <c r="K64" s="344"/>
      <c r="L64" s="344"/>
      <c r="M64" s="344"/>
      <c r="N64" s="344"/>
      <c r="O64" s="344"/>
      <c r="P64" s="344"/>
      <c r="Q64" s="358"/>
      <c r="S64" s="42"/>
    </row>
    <row r="65" spans="2:19" ht="28.8" x14ac:dyDescent="0.3">
      <c r="B65" s="85" t="s">
        <v>1</v>
      </c>
      <c r="C65" s="320" t="s">
        <v>2</v>
      </c>
      <c r="D65" s="320"/>
      <c r="E65" s="8" t="s">
        <v>3</v>
      </c>
      <c r="F65" s="1" t="s">
        <v>4</v>
      </c>
      <c r="G65" s="9" t="s">
        <v>200</v>
      </c>
      <c r="H65" s="9" t="s">
        <v>153</v>
      </c>
      <c r="I65" s="3" t="s">
        <v>201</v>
      </c>
      <c r="J65" s="2" t="s">
        <v>52</v>
      </c>
      <c r="K65" s="2" t="s">
        <v>9</v>
      </c>
      <c r="L65" s="2" t="s">
        <v>10</v>
      </c>
      <c r="M65" s="2" t="s">
        <v>11</v>
      </c>
      <c r="N65" s="8" t="s">
        <v>12</v>
      </c>
      <c r="O65" s="9" t="s">
        <v>13</v>
      </c>
      <c r="P65" s="102" t="s">
        <v>14</v>
      </c>
      <c r="Q65" s="78" t="s">
        <v>155</v>
      </c>
      <c r="S65" s="42"/>
    </row>
    <row r="66" spans="2:19" ht="14.4" customHeight="1" x14ac:dyDescent="0.3">
      <c r="B66" s="359" t="s">
        <v>223</v>
      </c>
      <c r="C66" s="350" t="s">
        <v>195</v>
      </c>
      <c r="D66" s="42" t="s">
        <v>18</v>
      </c>
      <c r="E66" s="62">
        <f>CEILING((((7950+40+115)*1.12))-150,50)</f>
        <v>8950</v>
      </c>
      <c r="F66" s="135">
        <v>130</v>
      </c>
      <c r="G66" s="136">
        <v>175</v>
      </c>
      <c r="H66" s="136">
        <v>275</v>
      </c>
      <c r="I66" s="136">
        <v>75</v>
      </c>
      <c r="J66" s="136">
        <v>50</v>
      </c>
      <c r="K66" s="131">
        <f t="shared" ref="K66:K67" si="7">SUM(E66:J66)</f>
        <v>9655</v>
      </c>
      <c r="L66" s="130">
        <v>200</v>
      </c>
      <c r="M66" s="131">
        <f>SUM(K66:L66)</f>
        <v>9855</v>
      </c>
      <c r="N66" s="132" t="s">
        <v>173</v>
      </c>
      <c r="O66" s="175" t="s">
        <v>158</v>
      </c>
      <c r="P66" s="42" t="s">
        <v>66</v>
      </c>
      <c r="Q66" s="360" t="s">
        <v>220</v>
      </c>
      <c r="S66" s="42" t="s">
        <v>221</v>
      </c>
    </row>
    <row r="67" spans="2:19" x14ac:dyDescent="0.3">
      <c r="B67" s="359"/>
      <c r="C67" s="350"/>
      <c r="D67" s="42" t="s">
        <v>24</v>
      </c>
      <c r="E67" s="62">
        <f>CEILING((((8800+297+115)*1.12))-150,50)</f>
        <v>10200</v>
      </c>
      <c r="F67" s="135">
        <v>160</v>
      </c>
      <c r="G67" s="136">
        <v>175</v>
      </c>
      <c r="H67" s="136">
        <v>275</v>
      </c>
      <c r="I67" s="136">
        <v>150</v>
      </c>
      <c r="J67" s="136">
        <v>50</v>
      </c>
      <c r="K67" s="131">
        <f t="shared" si="7"/>
        <v>11010</v>
      </c>
      <c r="L67" s="130">
        <v>200</v>
      </c>
      <c r="M67" s="131">
        <f>SUM(K67:L67)</f>
        <v>11210</v>
      </c>
      <c r="N67" s="132" t="s">
        <v>173</v>
      </c>
      <c r="O67" s="175" t="s">
        <v>158</v>
      </c>
      <c r="P67" s="42" t="s">
        <v>66</v>
      </c>
      <c r="Q67" s="361"/>
      <c r="S67" s="42" t="s">
        <v>221</v>
      </c>
    </row>
    <row r="68" spans="2:19" ht="28.8" x14ac:dyDescent="0.55000000000000004">
      <c r="B68" s="357" t="s">
        <v>224</v>
      </c>
      <c r="C68" s="344"/>
      <c r="D68" s="344"/>
      <c r="E68" s="344"/>
      <c r="F68" s="344"/>
      <c r="G68" s="344"/>
      <c r="H68" s="344"/>
      <c r="I68" s="344"/>
      <c r="J68" s="344"/>
      <c r="K68" s="344"/>
      <c r="L68" s="344"/>
      <c r="M68" s="344"/>
      <c r="N68" s="344"/>
      <c r="O68" s="344"/>
      <c r="P68" s="344"/>
      <c r="Q68" s="358"/>
      <c r="S68" s="42"/>
    </row>
    <row r="69" spans="2:19" ht="28.8" x14ac:dyDescent="0.3">
      <c r="B69" s="85" t="s">
        <v>1</v>
      </c>
      <c r="C69" s="320" t="s">
        <v>2</v>
      </c>
      <c r="D69" s="320"/>
      <c r="E69" s="8" t="s">
        <v>3</v>
      </c>
      <c r="F69" s="1" t="s">
        <v>4</v>
      </c>
      <c r="G69" s="9" t="s">
        <v>200</v>
      </c>
      <c r="H69" s="9" t="s">
        <v>153</v>
      </c>
      <c r="I69" s="3" t="s">
        <v>201</v>
      </c>
      <c r="J69" s="2" t="s">
        <v>52</v>
      </c>
      <c r="K69" s="2" t="s">
        <v>9</v>
      </c>
      <c r="L69" s="2" t="s">
        <v>10</v>
      </c>
      <c r="M69" s="2" t="s">
        <v>11</v>
      </c>
      <c r="N69" s="8" t="s">
        <v>12</v>
      </c>
      <c r="O69" s="9" t="s">
        <v>13</v>
      </c>
      <c r="P69" s="102" t="s">
        <v>14</v>
      </c>
      <c r="Q69" s="78" t="s">
        <v>155</v>
      </c>
      <c r="S69" s="42"/>
    </row>
    <row r="70" spans="2:19" x14ac:dyDescent="0.3">
      <c r="B70" s="359" t="s">
        <v>89</v>
      </c>
      <c r="C70" s="350" t="s">
        <v>195</v>
      </c>
      <c r="D70" s="42" t="s">
        <v>18</v>
      </c>
      <c r="E70" s="62">
        <f>CEILING((((8070+40+115)*1.12))-150,50)</f>
        <v>9100</v>
      </c>
      <c r="F70" s="135">
        <v>130</v>
      </c>
      <c r="G70" s="136">
        <v>175</v>
      </c>
      <c r="H70" s="136">
        <v>275</v>
      </c>
      <c r="I70" s="136">
        <v>75</v>
      </c>
      <c r="J70" s="136">
        <v>50</v>
      </c>
      <c r="K70" s="131">
        <f t="shared" ref="K70:K71" si="8">SUM(E70:J70)</f>
        <v>9805</v>
      </c>
      <c r="L70" s="130">
        <v>200</v>
      </c>
      <c r="M70" s="131">
        <f>SUM(K70:L70)</f>
        <v>10005</v>
      </c>
      <c r="N70" s="132" t="s">
        <v>173</v>
      </c>
      <c r="O70" s="175" t="s">
        <v>158</v>
      </c>
      <c r="P70" s="42" t="s">
        <v>66</v>
      </c>
      <c r="Q70" s="362" t="s">
        <v>225</v>
      </c>
      <c r="S70" s="42" t="s">
        <v>221</v>
      </c>
    </row>
    <row r="71" spans="2:19" x14ac:dyDescent="0.3">
      <c r="B71" s="359"/>
      <c r="C71" s="350"/>
      <c r="D71" s="42" t="s">
        <v>24</v>
      </c>
      <c r="E71" s="62">
        <f>CEILING((((9020+80+115)*1.12))-150,50)</f>
        <v>10200</v>
      </c>
      <c r="F71" s="135">
        <v>160</v>
      </c>
      <c r="G71" s="136">
        <v>175</v>
      </c>
      <c r="H71" s="136">
        <v>275</v>
      </c>
      <c r="I71" s="136">
        <v>150</v>
      </c>
      <c r="J71" s="136">
        <v>50</v>
      </c>
      <c r="K71" s="131">
        <f t="shared" si="8"/>
        <v>11010</v>
      </c>
      <c r="L71" s="130">
        <v>200</v>
      </c>
      <c r="M71" s="131">
        <f>SUM(K71:L71)</f>
        <v>11210</v>
      </c>
      <c r="N71" s="132" t="s">
        <v>173</v>
      </c>
      <c r="O71" s="175" t="s">
        <v>158</v>
      </c>
      <c r="P71" s="42" t="s">
        <v>66</v>
      </c>
      <c r="Q71" s="363"/>
      <c r="S71" s="42" t="s">
        <v>221</v>
      </c>
    </row>
    <row r="72" spans="2:19" ht="28.8" x14ac:dyDescent="0.55000000000000004">
      <c r="B72" s="357" t="s">
        <v>226</v>
      </c>
      <c r="C72" s="344"/>
      <c r="D72" s="344"/>
      <c r="E72" s="344"/>
      <c r="F72" s="344"/>
      <c r="G72" s="344"/>
      <c r="H72" s="344"/>
      <c r="I72" s="344"/>
      <c r="J72" s="344"/>
      <c r="K72" s="344"/>
      <c r="L72" s="344"/>
      <c r="M72" s="344"/>
      <c r="N72" s="344"/>
      <c r="O72" s="344"/>
      <c r="P72" s="344"/>
      <c r="Q72" s="358"/>
      <c r="S72" s="42"/>
    </row>
    <row r="73" spans="2:19" ht="28.8" x14ac:dyDescent="0.3">
      <c r="B73" s="85" t="s">
        <v>1</v>
      </c>
      <c r="C73" s="320" t="s">
        <v>2</v>
      </c>
      <c r="D73" s="320"/>
      <c r="E73" s="8" t="s">
        <v>3</v>
      </c>
      <c r="F73" s="1" t="s">
        <v>4</v>
      </c>
      <c r="G73" s="9" t="s">
        <v>200</v>
      </c>
      <c r="H73" s="9" t="s">
        <v>153</v>
      </c>
      <c r="I73" s="3" t="s">
        <v>201</v>
      </c>
      <c r="J73" s="2" t="s">
        <v>52</v>
      </c>
      <c r="K73" s="2" t="s">
        <v>9</v>
      </c>
      <c r="L73" s="2" t="s">
        <v>10</v>
      </c>
      <c r="M73" s="2" t="s">
        <v>11</v>
      </c>
      <c r="N73" s="8" t="s">
        <v>12</v>
      </c>
      <c r="O73" s="9" t="s">
        <v>13</v>
      </c>
      <c r="P73" s="102" t="s">
        <v>14</v>
      </c>
      <c r="Q73" s="78" t="s">
        <v>155</v>
      </c>
      <c r="S73" s="42"/>
    </row>
    <row r="74" spans="2:19" ht="14.4" customHeight="1" x14ac:dyDescent="0.3">
      <c r="B74" s="225" t="s">
        <v>167</v>
      </c>
      <c r="C74" s="350" t="s">
        <v>195</v>
      </c>
      <c r="D74" s="42" t="s">
        <v>18</v>
      </c>
      <c r="E74" s="62">
        <f>CEILING((((7950+40+115)*1.12))-150,50)</f>
        <v>8950</v>
      </c>
      <c r="F74" s="135">
        <v>130</v>
      </c>
      <c r="G74" s="136">
        <v>175</v>
      </c>
      <c r="H74" s="136">
        <v>275</v>
      </c>
      <c r="I74" s="136">
        <v>75</v>
      </c>
      <c r="J74" s="136">
        <v>50</v>
      </c>
      <c r="K74" s="47">
        <f t="shared" ref="K74:K75" si="9">SUM(E74:J74)</f>
        <v>9655</v>
      </c>
      <c r="L74" s="45">
        <v>200</v>
      </c>
      <c r="M74" s="131">
        <f>SUM(K74:L74)</f>
        <v>9855</v>
      </c>
      <c r="N74" s="48" t="s">
        <v>173</v>
      </c>
      <c r="O74" s="175" t="s">
        <v>158</v>
      </c>
      <c r="P74" s="42" t="s">
        <v>66</v>
      </c>
      <c r="Q74" s="362" t="s">
        <v>225</v>
      </c>
      <c r="S74" s="42" t="s">
        <v>221</v>
      </c>
    </row>
    <row r="75" spans="2:19" x14ac:dyDescent="0.3">
      <c r="B75" s="225"/>
      <c r="C75" s="350"/>
      <c r="D75" s="42" t="s">
        <v>24</v>
      </c>
      <c r="E75" s="62">
        <f>CEILING((((8800+80+115)*1.12))-150,50)</f>
        <v>9950</v>
      </c>
      <c r="F75" s="135">
        <v>160</v>
      </c>
      <c r="G75" s="136">
        <v>175</v>
      </c>
      <c r="H75" s="136">
        <v>275</v>
      </c>
      <c r="I75" s="136">
        <v>150</v>
      </c>
      <c r="J75" s="136">
        <v>50</v>
      </c>
      <c r="K75" s="47">
        <f t="shared" si="9"/>
        <v>10760</v>
      </c>
      <c r="L75" s="45">
        <v>200</v>
      </c>
      <c r="M75" s="131">
        <f>SUM(K75:L75)</f>
        <v>10960</v>
      </c>
      <c r="N75" s="48" t="s">
        <v>173</v>
      </c>
      <c r="O75" s="175" t="s">
        <v>158</v>
      </c>
      <c r="P75" s="42" t="s">
        <v>66</v>
      </c>
      <c r="Q75" s="364"/>
      <c r="S75" s="42" t="s">
        <v>221</v>
      </c>
    </row>
    <row r="76" spans="2:19" ht="15" hidden="1" thickBot="1" x14ac:dyDescent="0.35">
      <c r="B76" s="119" t="s">
        <v>227</v>
      </c>
      <c r="C76" s="117" t="s">
        <v>195</v>
      </c>
      <c r="D76" s="42" t="s">
        <v>24</v>
      </c>
      <c r="E76" s="118">
        <v>6900</v>
      </c>
      <c r="F76" s="45">
        <v>235</v>
      </c>
      <c r="G76" s="43">
        <v>175</v>
      </c>
      <c r="H76" s="43">
        <v>215</v>
      </c>
      <c r="I76" s="43">
        <v>150</v>
      </c>
      <c r="J76" s="43">
        <v>50</v>
      </c>
      <c r="K76" s="47">
        <f t="shared" ref="K76" si="10">SUM(E76:J76)</f>
        <v>7725</v>
      </c>
      <c r="L76" s="45">
        <v>200</v>
      </c>
      <c r="M76" s="47">
        <f t="shared" ref="M76" si="11">SUM(J76:L76)</f>
        <v>7975</v>
      </c>
      <c r="N76" s="42" t="s">
        <v>228</v>
      </c>
      <c r="O76" s="23" t="s">
        <v>229</v>
      </c>
      <c r="P76" s="42" t="s">
        <v>230</v>
      </c>
      <c r="Q76" s="363"/>
      <c r="S76" s="42"/>
    </row>
    <row r="77" spans="2:19" ht="28.8" x14ac:dyDescent="0.55000000000000004">
      <c r="B77" s="357" t="s">
        <v>231</v>
      </c>
      <c r="C77" s="344"/>
      <c r="D77" s="344"/>
      <c r="E77" s="342"/>
      <c r="F77" s="344"/>
      <c r="G77" s="344"/>
      <c r="H77" s="344"/>
      <c r="I77" s="344"/>
      <c r="J77" s="344"/>
      <c r="K77" s="344"/>
      <c r="L77" s="344"/>
      <c r="M77" s="344"/>
      <c r="N77" s="344"/>
      <c r="O77" s="344"/>
      <c r="P77" s="344"/>
      <c r="Q77" s="358"/>
      <c r="S77" s="42"/>
    </row>
    <row r="78" spans="2:19" ht="28.8" x14ac:dyDescent="0.3">
      <c r="B78" s="85" t="s">
        <v>1</v>
      </c>
      <c r="C78" s="320" t="s">
        <v>2</v>
      </c>
      <c r="D78" s="320"/>
      <c r="E78" s="8" t="s">
        <v>3</v>
      </c>
      <c r="F78" s="1" t="s">
        <v>4</v>
      </c>
      <c r="G78" s="9" t="s">
        <v>200</v>
      </c>
      <c r="H78" s="9" t="s">
        <v>153</v>
      </c>
      <c r="I78" s="3" t="s">
        <v>201</v>
      </c>
      <c r="J78" s="2" t="s">
        <v>52</v>
      </c>
      <c r="K78" s="2" t="s">
        <v>9</v>
      </c>
      <c r="L78" s="2" t="s">
        <v>10</v>
      </c>
      <c r="M78" s="2" t="s">
        <v>11</v>
      </c>
      <c r="N78" s="8" t="s">
        <v>12</v>
      </c>
      <c r="O78" s="9" t="s">
        <v>13</v>
      </c>
      <c r="P78" s="102" t="s">
        <v>14</v>
      </c>
      <c r="Q78" s="78" t="s">
        <v>155</v>
      </c>
      <c r="S78" s="42"/>
    </row>
    <row r="79" spans="2:19" ht="15" thickBot="1" x14ac:dyDescent="0.35">
      <c r="B79" s="225" t="s">
        <v>172</v>
      </c>
      <c r="C79" s="350" t="s">
        <v>195</v>
      </c>
      <c r="D79" s="42" t="s">
        <v>18</v>
      </c>
      <c r="E79" s="62">
        <v>6000</v>
      </c>
      <c r="F79" s="30">
        <v>380</v>
      </c>
      <c r="G79" s="30">
        <v>175</v>
      </c>
      <c r="H79" s="30">
        <v>175</v>
      </c>
      <c r="I79" s="30">
        <v>75</v>
      </c>
      <c r="J79" s="80">
        <v>50</v>
      </c>
      <c r="K79" s="47">
        <f t="shared" ref="K79:K80" si="12">SUM(E79:J79)</f>
        <v>6855</v>
      </c>
      <c r="L79" s="45">
        <v>200</v>
      </c>
      <c r="M79" s="131">
        <f>SUM(K79:L79)</f>
        <v>7055</v>
      </c>
      <c r="N79" s="42" t="s">
        <v>232</v>
      </c>
      <c r="O79" s="175" t="s">
        <v>158</v>
      </c>
      <c r="P79" s="57" t="s">
        <v>233</v>
      </c>
      <c r="Q79" s="362" t="s">
        <v>234</v>
      </c>
      <c r="S79" s="42" t="s">
        <v>235</v>
      </c>
    </row>
    <row r="80" spans="2:19" ht="15" thickBot="1" x14ac:dyDescent="0.35">
      <c r="B80" s="367"/>
      <c r="C80" s="366"/>
      <c r="D80" s="66" t="s">
        <v>24</v>
      </c>
      <c r="E80" s="63">
        <v>6500</v>
      </c>
      <c r="F80" s="30">
        <v>380</v>
      </c>
      <c r="G80" s="30">
        <v>175</v>
      </c>
      <c r="H80" s="30">
        <v>175</v>
      </c>
      <c r="I80" s="30">
        <v>150</v>
      </c>
      <c r="J80" s="80">
        <v>50</v>
      </c>
      <c r="K80" s="65">
        <f t="shared" si="12"/>
        <v>7430</v>
      </c>
      <c r="L80" s="64">
        <v>200</v>
      </c>
      <c r="M80" s="131">
        <f>SUM(K80:L80)</f>
        <v>7630</v>
      </c>
      <c r="N80" s="42" t="s">
        <v>232</v>
      </c>
      <c r="O80" s="175" t="s">
        <v>158</v>
      </c>
      <c r="P80" s="57" t="s">
        <v>233</v>
      </c>
      <c r="Q80" s="363"/>
      <c r="S80" s="42" t="s">
        <v>235</v>
      </c>
    </row>
    <row r="81" spans="2:19" ht="28.8" x14ac:dyDescent="0.55000000000000004">
      <c r="B81" s="357" t="s">
        <v>236</v>
      </c>
      <c r="C81" s="344"/>
      <c r="D81" s="344"/>
      <c r="E81" s="344"/>
      <c r="F81" s="344"/>
      <c r="G81" s="344"/>
      <c r="H81" s="344"/>
      <c r="I81" s="344"/>
      <c r="J81" s="344"/>
      <c r="K81" s="344"/>
      <c r="L81" s="344"/>
      <c r="M81" s="344"/>
      <c r="N81" s="342"/>
      <c r="O81" s="344"/>
      <c r="P81" s="344"/>
      <c r="Q81" s="358"/>
    </row>
    <row r="82" spans="2:19" ht="28.8" x14ac:dyDescent="0.3">
      <c r="B82" s="85" t="s">
        <v>1</v>
      </c>
      <c r="C82" s="320" t="s">
        <v>2</v>
      </c>
      <c r="D82" s="320"/>
      <c r="E82" s="8" t="s">
        <v>3</v>
      </c>
      <c r="F82" s="1" t="s">
        <v>4</v>
      </c>
      <c r="G82" s="9" t="s">
        <v>200</v>
      </c>
      <c r="H82" s="9" t="s">
        <v>153</v>
      </c>
      <c r="I82" s="3" t="s">
        <v>201</v>
      </c>
      <c r="J82" s="2" t="s">
        <v>52</v>
      </c>
      <c r="K82" s="2" t="s">
        <v>9</v>
      </c>
      <c r="L82" s="2" t="s">
        <v>10</v>
      </c>
      <c r="M82" s="2" t="s">
        <v>11</v>
      </c>
      <c r="N82" s="8" t="s">
        <v>12</v>
      </c>
      <c r="O82" s="9" t="s">
        <v>13</v>
      </c>
      <c r="P82" s="102" t="s">
        <v>14</v>
      </c>
      <c r="Q82" s="78" t="s">
        <v>155</v>
      </c>
    </row>
    <row r="83" spans="2:19" x14ac:dyDescent="0.3">
      <c r="B83" s="225" t="s">
        <v>103</v>
      </c>
      <c r="C83" s="350" t="s">
        <v>195</v>
      </c>
      <c r="D83" s="42" t="s">
        <v>18</v>
      </c>
      <c r="E83" s="62">
        <f>CEILING((((8100+40+115)*1.12))-150,50)</f>
        <v>9100</v>
      </c>
      <c r="F83" s="135">
        <v>130</v>
      </c>
      <c r="G83" s="136">
        <v>175</v>
      </c>
      <c r="H83" s="136">
        <v>275</v>
      </c>
      <c r="I83" s="136">
        <v>75</v>
      </c>
      <c r="J83" s="136">
        <v>50</v>
      </c>
      <c r="K83" s="131">
        <f t="shared" ref="K83:K84" si="13">SUM(E83:J83)</f>
        <v>9805</v>
      </c>
      <c r="L83" s="130">
        <v>200</v>
      </c>
      <c r="M83" s="131">
        <f>SUM(K83:L83)</f>
        <v>10005</v>
      </c>
      <c r="N83" s="132" t="s">
        <v>173</v>
      </c>
      <c r="O83" s="175" t="s">
        <v>158</v>
      </c>
      <c r="P83" s="42" t="s">
        <v>66</v>
      </c>
      <c r="Q83" s="362" t="s">
        <v>225</v>
      </c>
      <c r="S83" s="42" t="s">
        <v>221</v>
      </c>
    </row>
    <row r="84" spans="2:19" ht="15" thickBot="1" x14ac:dyDescent="0.35">
      <c r="B84" s="367"/>
      <c r="C84" s="366"/>
      <c r="D84" s="66" t="s">
        <v>24</v>
      </c>
      <c r="E84" s="63">
        <f>CEILING((((9050+297+115)*1.12))-150,50)</f>
        <v>10450</v>
      </c>
      <c r="F84" s="165">
        <v>160</v>
      </c>
      <c r="G84" s="166">
        <v>175</v>
      </c>
      <c r="H84" s="166">
        <v>275</v>
      </c>
      <c r="I84" s="166">
        <v>150</v>
      </c>
      <c r="J84" s="166">
        <v>50</v>
      </c>
      <c r="K84" s="167">
        <f t="shared" si="13"/>
        <v>11260</v>
      </c>
      <c r="L84" s="168">
        <v>200</v>
      </c>
      <c r="M84" s="167">
        <f>SUM(K84:L84)</f>
        <v>11460</v>
      </c>
      <c r="N84" s="169" t="s">
        <v>173</v>
      </c>
      <c r="O84" s="175" t="s">
        <v>158</v>
      </c>
      <c r="P84" s="66" t="s">
        <v>66</v>
      </c>
      <c r="Q84" s="365"/>
      <c r="S84" s="42" t="s">
        <v>221</v>
      </c>
    </row>
    <row r="85" spans="2:19" ht="15" thickBot="1" x14ac:dyDescent="0.35">
      <c r="B85" s="104"/>
      <c r="C85" s="104"/>
      <c r="D85" s="337" t="s">
        <v>237</v>
      </c>
      <c r="E85" s="337"/>
      <c r="F85" s="104"/>
      <c r="G85" s="104"/>
      <c r="H85" s="104"/>
      <c r="I85" s="104"/>
      <c r="J85" s="58"/>
      <c r="K85" s="104"/>
      <c r="L85" s="104"/>
      <c r="M85" s="58"/>
      <c r="N85" s="104"/>
      <c r="O85" s="104"/>
      <c r="P85" s="104"/>
      <c r="Q85" s="104"/>
      <c r="R85" s="104"/>
    </row>
    <row r="86" spans="2:19" ht="15.6" x14ac:dyDescent="0.3">
      <c r="B86" s="233" t="s">
        <v>34</v>
      </c>
      <c r="C86" s="234"/>
      <c r="D86" s="234"/>
      <c r="E86" s="234"/>
      <c r="F86" s="234"/>
      <c r="G86" s="234"/>
      <c r="H86" s="234"/>
      <c r="I86" s="234"/>
      <c r="J86" s="234"/>
      <c r="K86" s="234"/>
      <c r="L86" s="234"/>
      <c r="M86" s="234"/>
      <c r="N86" s="234"/>
      <c r="O86" s="234"/>
      <c r="P86" s="234"/>
      <c r="Q86" s="234"/>
      <c r="R86" s="235"/>
    </row>
    <row r="87" spans="2:19" x14ac:dyDescent="0.3">
      <c r="B87" s="236" t="s">
        <v>35</v>
      </c>
      <c r="C87" s="237"/>
      <c r="D87" s="237"/>
      <c r="E87" s="237"/>
      <c r="F87" s="237"/>
      <c r="G87" s="237"/>
      <c r="H87" s="237"/>
      <c r="I87" s="237"/>
      <c r="J87" s="237"/>
      <c r="K87" s="237"/>
      <c r="L87" s="237"/>
      <c r="M87" s="237"/>
      <c r="N87" s="237"/>
      <c r="O87" s="237"/>
      <c r="P87" s="237"/>
      <c r="Q87" s="237"/>
      <c r="R87" s="238"/>
    </row>
    <row r="88" spans="2:19" x14ac:dyDescent="0.3">
      <c r="B88" s="236"/>
      <c r="C88" s="237"/>
      <c r="D88" s="237"/>
      <c r="E88" s="237"/>
      <c r="F88" s="237"/>
      <c r="G88" s="237"/>
      <c r="H88" s="237"/>
      <c r="I88" s="237"/>
      <c r="J88" s="237"/>
      <c r="K88" s="237"/>
      <c r="L88" s="237"/>
      <c r="M88" s="237"/>
      <c r="N88" s="237"/>
      <c r="O88" s="237"/>
      <c r="P88" s="237"/>
      <c r="Q88" s="237"/>
      <c r="R88" s="238"/>
    </row>
    <row r="89" spans="2:19" x14ac:dyDescent="0.3">
      <c r="B89" s="236"/>
      <c r="C89" s="237"/>
      <c r="D89" s="237"/>
      <c r="E89" s="237"/>
      <c r="F89" s="237"/>
      <c r="G89" s="237"/>
      <c r="H89" s="237"/>
      <c r="I89" s="237"/>
      <c r="J89" s="237"/>
      <c r="K89" s="237"/>
      <c r="L89" s="237"/>
      <c r="M89" s="237"/>
      <c r="N89" s="237"/>
      <c r="O89" s="237"/>
      <c r="P89" s="237"/>
      <c r="Q89" s="237"/>
      <c r="R89" s="238"/>
    </row>
    <row r="90" spans="2:19" ht="15" thickBot="1" x14ac:dyDescent="0.35">
      <c r="B90" s="239"/>
      <c r="C90" s="240"/>
      <c r="D90" s="240"/>
      <c r="E90" s="240"/>
      <c r="F90" s="240"/>
      <c r="G90" s="240"/>
      <c r="H90" s="240"/>
      <c r="I90" s="240"/>
      <c r="J90" s="240"/>
      <c r="K90" s="240"/>
      <c r="L90" s="240"/>
      <c r="M90" s="240"/>
      <c r="N90" s="240"/>
      <c r="O90" s="240"/>
      <c r="P90" s="240"/>
      <c r="Q90" s="240"/>
      <c r="R90" s="241"/>
    </row>
    <row r="98" spans="2:18" ht="28.8" x14ac:dyDescent="0.3">
      <c r="B98" s="242" t="s">
        <v>238</v>
      </c>
      <c r="C98" s="242"/>
      <c r="D98" s="242"/>
      <c r="E98" s="242"/>
      <c r="F98" s="242"/>
      <c r="G98" s="242"/>
      <c r="H98" s="242"/>
      <c r="I98" s="242"/>
      <c r="J98" s="242"/>
      <c r="K98" s="242"/>
      <c r="L98" s="242"/>
      <c r="M98" s="242"/>
      <c r="N98" s="242"/>
      <c r="O98" s="242"/>
      <c r="P98" s="242"/>
      <c r="Q98" s="242"/>
      <c r="R98" s="242"/>
    </row>
    <row r="99" spans="2:18" ht="28.8" x14ac:dyDescent="0.3">
      <c r="B99" s="1" t="s">
        <v>1</v>
      </c>
      <c r="C99" s="320" t="s">
        <v>2</v>
      </c>
      <c r="D99" s="320"/>
      <c r="E99" s="105" t="s">
        <v>141</v>
      </c>
      <c r="F99" s="1" t="s">
        <v>4</v>
      </c>
      <c r="G99" s="9" t="s">
        <v>200</v>
      </c>
      <c r="H99" s="9" t="s">
        <v>153</v>
      </c>
      <c r="I99" s="2" t="s">
        <v>239</v>
      </c>
      <c r="J99" s="2" t="s">
        <v>9</v>
      </c>
      <c r="K99" s="2" t="s">
        <v>10</v>
      </c>
      <c r="L99" s="2" t="s">
        <v>11</v>
      </c>
      <c r="M99" s="8" t="s">
        <v>12</v>
      </c>
      <c r="N99" s="9" t="s">
        <v>13</v>
      </c>
      <c r="O99" s="9" t="s">
        <v>14</v>
      </c>
      <c r="P99" s="102" t="s">
        <v>133</v>
      </c>
      <c r="Q99" s="224" t="s">
        <v>38</v>
      </c>
      <c r="R99" s="224"/>
    </row>
    <row r="100" spans="2:18" x14ac:dyDescent="0.3">
      <c r="B100" s="226" t="s">
        <v>107</v>
      </c>
      <c r="C100" s="243" t="s">
        <v>195</v>
      </c>
      <c r="D100" s="42" t="s">
        <v>18</v>
      </c>
      <c r="E100" s="30">
        <v>1400</v>
      </c>
      <c r="F100" s="32">
        <v>175</v>
      </c>
      <c r="G100" s="43">
        <v>150</v>
      </c>
      <c r="H100" s="43">
        <v>175</v>
      </c>
      <c r="I100" s="43">
        <v>75</v>
      </c>
      <c r="J100" s="47">
        <f>SUM(E100:I100)</f>
        <v>1975</v>
      </c>
      <c r="K100" s="45">
        <v>200</v>
      </c>
      <c r="L100" s="47">
        <f>J100+K100</f>
        <v>2175</v>
      </c>
      <c r="M100" s="77" t="s">
        <v>180</v>
      </c>
      <c r="N100" s="175" t="s">
        <v>181</v>
      </c>
      <c r="O100" s="34" t="s">
        <v>46</v>
      </c>
      <c r="P100" s="42" t="s">
        <v>182</v>
      </c>
      <c r="Q100" s="244" t="s">
        <v>47</v>
      </c>
      <c r="R100" s="244"/>
    </row>
    <row r="101" spans="2:18" x14ac:dyDescent="0.3">
      <c r="B101" s="226"/>
      <c r="C101" s="243"/>
      <c r="D101" s="42" t="s">
        <v>24</v>
      </c>
      <c r="E101" s="30">
        <v>1800</v>
      </c>
      <c r="F101" s="32">
        <v>235</v>
      </c>
      <c r="G101" s="43">
        <v>150</v>
      </c>
      <c r="H101" s="43">
        <v>175</v>
      </c>
      <c r="I101" s="43">
        <v>75</v>
      </c>
      <c r="J101" s="47">
        <f>SUM(E101:I101)</f>
        <v>2435</v>
      </c>
      <c r="K101" s="45">
        <v>200</v>
      </c>
      <c r="L101" s="47">
        <f>J101+K101</f>
        <v>2635</v>
      </c>
      <c r="M101" s="77" t="s">
        <v>180</v>
      </c>
      <c r="N101" s="175" t="s">
        <v>181</v>
      </c>
      <c r="O101" s="34" t="s">
        <v>46</v>
      </c>
      <c r="P101" s="42" t="s">
        <v>182</v>
      </c>
      <c r="Q101" s="244"/>
      <c r="R101" s="244"/>
    </row>
    <row r="103" spans="2:18" ht="15.6" x14ac:dyDescent="0.3">
      <c r="B103" s="5" t="s">
        <v>34</v>
      </c>
      <c r="C103" s="6"/>
      <c r="D103" s="6"/>
      <c r="E103" s="6"/>
      <c r="F103" s="6"/>
      <c r="G103" s="6"/>
      <c r="H103" s="6"/>
      <c r="I103" s="6"/>
      <c r="J103" s="6"/>
      <c r="K103" s="6"/>
      <c r="L103" s="6"/>
      <c r="M103" s="6"/>
      <c r="N103" s="6"/>
      <c r="O103" s="6"/>
      <c r="P103" s="6"/>
      <c r="Q103" s="6"/>
      <c r="R103" s="6"/>
    </row>
    <row r="104" spans="2:18" x14ac:dyDescent="0.3">
      <c r="B104" s="304" t="s">
        <v>35</v>
      </c>
      <c r="C104" s="304"/>
      <c r="D104" s="304"/>
      <c r="E104" s="304"/>
      <c r="F104" s="304"/>
      <c r="G104" s="304"/>
      <c r="H104" s="304"/>
      <c r="I104" s="304"/>
      <c r="J104" s="304"/>
      <c r="K104" s="304"/>
      <c r="L104" s="304"/>
      <c r="M104" s="304"/>
      <c r="N104" s="304"/>
      <c r="O104" s="304"/>
      <c r="P104" s="304"/>
      <c r="Q104" s="304"/>
      <c r="R104" s="304"/>
    </row>
    <row r="105" spans="2:18" x14ac:dyDescent="0.3">
      <c r="B105" s="304"/>
      <c r="C105" s="304"/>
      <c r="D105" s="304"/>
      <c r="E105" s="304"/>
      <c r="F105" s="304"/>
      <c r="G105" s="304"/>
      <c r="H105" s="304"/>
      <c r="I105" s="304"/>
      <c r="J105" s="304"/>
      <c r="K105" s="304"/>
      <c r="L105" s="304"/>
      <c r="M105" s="304"/>
      <c r="N105" s="304"/>
      <c r="O105" s="304"/>
      <c r="P105" s="304"/>
      <c r="Q105" s="304"/>
      <c r="R105" s="304"/>
    </row>
    <row r="106" spans="2:18" x14ac:dyDescent="0.3">
      <c r="B106" s="304"/>
      <c r="C106" s="304"/>
      <c r="D106" s="304"/>
      <c r="E106" s="304"/>
      <c r="F106" s="304"/>
      <c r="G106" s="304"/>
      <c r="H106" s="304"/>
      <c r="I106" s="304"/>
      <c r="J106" s="304"/>
      <c r="K106" s="304"/>
      <c r="L106" s="304"/>
      <c r="M106" s="304"/>
      <c r="N106" s="304"/>
      <c r="O106" s="304"/>
      <c r="P106" s="304"/>
      <c r="Q106" s="304"/>
      <c r="R106" s="304"/>
    </row>
    <row r="107" spans="2:18" x14ac:dyDescent="0.3">
      <c r="B107" s="304"/>
      <c r="C107" s="304"/>
      <c r="D107" s="304"/>
      <c r="E107" s="304"/>
      <c r="F107" s="304"/>
      <c r="G107" s="304"/>
      <c r="H107" s="304"/>
      <c r="I107" s="304"/>
      <c r="J107" s="304"/>
      <c r="K107" s="304"/>
      <c r="L107" s="304"/>
      <c r="M107" s="304"/>
      <c r="N107" s="304"/>
      <c r="O107" s="304"/>
      <c r="P107" s="304"/>
      <c r="Q107" s="304"/>
      <c r="R107" s="304"/>
    </row>
    <row r="108" spans="2:18" x14ac:dyDescent="0.3">
      <c r="B108" s="100"/>
      <c r="C108" s="100"/>
      <c r="D108" s="100"/>
      <c r="E108" s="100"/>
      <c r="F108" s="100"/>
      <c r="G108" s="100"/>
      <c r="H108" s="100"/>
      <c r="I108" s="100"/>
      <c r="J108" s="100"/>
      <c r="K108" s="100"/>
      <c r="L108" s="100"/>
      <c r="M108" s="100"/>
      <c r="N108" s="100"/>
      <c r="O108" s="100"/>
      <c r="P108" s="100"/>
      <c r="Q108" s="100"/>
      <c r="R108" s="100"/>
    </row>
    <row r="109" spans="2:18" x14ac:dyDescent="0.3">
      <c r="B109" s="100"/>
      <c r="C109" s="100"/>
      <c r="D109" s="100"/>
      <c r="E109" s="100"/>
      <c r="F109" s="100"/>
      <c r="G109" s="100"/>
      <c r="H109" s="100"/>
      <c r="I109" s="100"/>
      <c r="J109" s="100"/>
      <c r="K109" s="100"/>
      <c r="L109" s="100"/>
      <c r="M109" s="100"/>
      <c r="N109" s="100"/>
      <c r="O109" s="100"/>
      <c r="P109" s="100"/>
      <c r="Q109" s="100"/>
      <c r="R109" s="100"/>
    </row>
    <row r="110" spans="2:18" hidden="1" x14ac:dyDescent="0.3"/>
    <row r="111" spans="2:18" hidden="1" x14ac:dyDescent="0.3"/>
    <row r="112" spans="2:18" hidden="1" x14ac:dyDescent="0.3"/>
    <row r="113" spans="2:18" hidden="1" x14ac:dyDescent="0.3"/>
    <row r="114" spans="2:18" hidden="1" x14ac:dyDescent="0.3"/>
    <row r="115" spans="2:18" hidden="1" x14ac:dyDescent="0.3"/>
    <row r="116" spans="2:18" ht="28.8" hidden="1" x14ac:dyDescent="0.55000000000000004">
      <c r="B116" s="357" t="s">
        <v>240</v>
      </c>
      <c r="C116" s="344"/>
      <c r="D116" s="344"/>
      <c r="E116" s="344"/>
      <c r="F116" s="344"/>
      <c r="G116" s="344"/>
      <c r="H116" s="344"/>
      <c r="I116" s="344"/>
      <c r="J116" s="344"/>
      <c r="K116" s="344"/>
      <c r="L116" s="344"/>
      <c r="M116" s="344"/>
      <c r="N116" s="344"/>
      <c r="O116" s="344"/>
      <c r="P116" s="344"/>
      <c r="Q116" s="358"/>
    </row>
    <row r="117" spans="2:18" ht="28.8" hidden="1" x14ac:dyDescent="0.3">
      <c r="B117" s="85" t="s">
        <v>1</v>
      </c>
      <c r="C117" s="320" t="s">
        <v>2</v>
      </c>
      <c r="D117" s="320"/>
      <c r="E117" s="8" t="s">
        <v>3</v>
      </c>
      <c r="F117" s="1" t="s">
        <v>4</v>
      </c>
      <c r="G117" s="9" t="s">
        <v>200</v>
      </c>
      <c r="H117" s="9" t="s">
        <v>153</v>
      </c>
      <c r="I117" s="2" t="s">
        <v>239</v>
      </c>
      <c r="J117" s="2" t="s">
        <v>52</v>
      </c>
      <c r="K117" s="2" t="s">
        <v>9</v>
      </c>
      <c r="L117" s="2" t="s">
        <v>10</v>
      </c>
      <c r="M117" s="2" t="s">
        <v>11</v>
      </c>
      <c r="N117" s="8" t="s">
        <v>12</v>
      </c>
      <c r="O117" s="9" t="s">
        <v>13</v>
      </c>
      <c r="P117" s="102" t="s">
        <v>14</v>
      </c>
      <c r="Q117" s="78" t="s">
        <v>155</v>
      </c>
    </row>
    <row r="118" spans="2:18" hidden="1" x14ac:dyDescent="0.3">
      <c r="B118" s="225" t="s">
        <v>241</v>
      </c>
      <c r="C118" s="350" t="s">
        <v>195</v>
      </c>
      <c r="D118" s="42" t="s">
        <v>18</v>
      </c>
      <c r="E118" s="62">
        <v>3685</v>
      </c>
      <c r="F118" s="45">
        <v>160</v>
      </c>
      <c r="G118" s="43">
        <v>175</v>
      </c>
      <c r="H118" s="43">
        <v>275</v>
      </c>
      <c r="I118" s="43">
        <v>75</v>
      </c>
      <c r="J118" s="43">
        <v>50</v>
      </c>
      <c r="K118" s="47">
        <f t="shared" ref="K118:K119" si="14">SUM(E118:J118)</f>
        <v>4420</v>
      </c>
      <c r="L118" s="45">
        <v>200</v>
      </c>
      <c r="M118" s="131">
        <f>SUM(K118:L118)</f>
        <v>4620</v>
      </c>
      <c r="N118" s="42" t="s">
        <v>232</v>
      </c>
      <c r="O118" s="175">
        <v>46207</v>
      </c>
      <c r="P118" s="42" t="s">
        <v>41</v>
      </c>
      <c r="Q118" s="87" t="s">
        <v>242</v>
      </c>
    </row>
    <row r="119" spans="2:18" hidden="1" x14ac:dyDescent="0.3">
      <c r="B119" s="225"/>
      <c r="C119" s="350"/>
      <c r="D119" s="42" t="s">
        <v>24</v>
      </c>
      <c r="E119" s="62">
        <v>5200</v>
      </c>
      <c r="F119" s="45">
        <v>230</v>
      </c>
      <c r="G119" s="43">
        <v>175</v>
      </c>
      <c r="H119" s="43">
        <v>275</v>
      </c>
      <c r="I119" s="43">
        <v>75</v>
      </c>
      <c r="J119" s="43">
        <v>50</v>
      </c>
      <c r="K119" s="47">
        <f t="shared" si="14"/>
        <v>6005</v>
      </c>
      <c r="L119" s="45">
        <v>200</v>
      </c>
      <c r="M119" s="131">
        <f>SUM(K119:L119)</f>
        <v>6205</v>
      </c>
      <c r="N119" s="42" t="s">
        <v>243</v>
      </c>
      <c r="O119" s="175">
        <v>46207</v>
      </c>
      <c r="P119" s="42" t="s">
        <v>41</v>
      </c>
      <c r="Q119" s="87" t="s">
        <v>242</v>
      </c>
    </row>
    <row r="120" spans="2:18" hidden="1" x14ac:dyDescent="0.3"/>
    <row r="121" spans="2:18" ht="15.6" hidden="1" x14ac:dyDescent="0.3">
      <c r="B121" s="5" t="s">
        <v>34</v>
      </c>
      <c r="C121" s="6"/>
      <c r="D121" s="6"/>
      <c r="E121" s="6"/>
      <c r="F121" s="6"/>
      <c r="G121" s="6"/>
      <c r="H121" s="6"/>
      <c r="I121" s="6"/>
      <c r="J121" s="6"/>
      <c r="K121" s="6"/>
      <c r="L121" s="6"/>
      <c r="M121" s="6"/>
      <c r="N121" s="6"/>
      <c r="O121" s="6"/>
      <c r="P121" s="6"/>
      <c r="Q121" s="6"/>
      <c r="R121" s="6"/>
    </row>
    <row r="122" spans="2:18" hidden="1" x14ac:dyDescent="0.3">
      <c r="B122" s="304" t="s">
        <v>35</v>
      </c>
      <c r="C122" s="304"/>
      <c r="D122" s="304"/>
      <c r="E122" s="304"/>
      <c r="F122" s="304"/>
      <c r="G122" s="304"/>
      <c r="H122" s="304"/>
      <c r="I122" s="304"/>
      <c r="J122" s="304"/>
      <c r="K122" s="304"/>
      <c r="L122" s="304"/>
      <c r="M122" s="304"/>
      <c r="N122" s="304"/>
      <c r="O122" s="304"/>
      <c r="P122" s="304"/>
      <c r="Q122" s="304"/>
      <c r="R122" s="304"/>
    </row>
    <row r="123" spans="2:18" hidden="1" x14ac:dyDescent="0.3">
      <c r="B123" s="304"/>
      <c r="C123" s="304"/>
      <c r="D123" s="304"/>
      <c r="E123" s="304"/>
      <c r="F123" s="304"/>
      <c r="G123" s="304"/>
      <c r="H123" s="304"/>
      <c r="I123" s="304"/>
      <c r="J123" s="304"/>
      <c r="K123" s="304"/>
      <c r="L123" s="304"/>
      <c r="M123" s="304"/>
      <c r="N123" s="304"/>
      <c r="O123" s="304"/>
      <c r="P123" s="304"/>
      <c r="Q123" s="304"/>
      <c r="R123" s="304"/>
    </row>
    <row r="124" spans="2:18" hidden="1" x14ac:dyDescent="0.3">
      <c r="B124" s="304"/>
      <c r="C124" s="304"/>
      <c r="D124" s="304"/>
      <c r="E124" s="304"/>
      <c r="F124" s="304"/>
      <c r="G124" s="304"/>
      <c r="H124" s="304"/>
      <c r="I124" s="304"/>
      <c r="J124" s="304"/>
      <c r="K124" s="304"/>
      <c r="L124" s="304"/>
      <c r="M124" s="304"/>
      <c r="N124" s="304"/>
      <c r="O124" s="304"/>
      <c r="P124" s="304"/>
      <c r="Q124" s="304"/>
      <c r="R124" s="304"/>
    </row>
    <row r="125" spans="2:18" hidden="1" x14ac:dyDescent="0.3">
      <c r="B125" s="304"/>
      <c r="C125" s="304"/>
      <c r="D125" s="304"/>
      <c r="E125" s="304"/>
      <c r="F125" s="304"/>
      <c r="G125" s="304"/>
      <c r="H125" s="304"/>
      <c r="I125" s="304"/>
      <c r="J125" s="304"/>
      <c r="K125" s="304"/>
      <c r="L125" s="304"/>
      <c r="M125" s="304"/>
      <c r="N125" s="304"/>
      <c r="O125" s="304"/>
      <c r="P125" s="304"/>
      <c r="Q125" s="304"/>
      <c r="R125" s="304"/>
    </row>
    <row r="126" spans="2:18" hidden="1" x14ac:dyDescent="0.3"/>
    <row r="127" spans="2:18" hidden="1" x14ac:dyDescent="0.3"/>
    <row r="128" spans="2:18" hidden="1" x14ac:dyDescent="0.3"/>
    <row r="129" spans="2:18" x14ac:dyDescent="0.3">
      <c r="C129" s="27"/>
    </row>
    <row r="130" spans="2:18" x14ac:dyDescent="0.3">
      <c r="C130" s="27"/>
    </row>
    <row r="131" spans="2:18" x14ac:dyDescent="0.3">
      <c r="C131" s="27"/>
    </row>
    <row r="132" spans="2:18" x14ac:dyDescent="0.3">
      <c r="C132" s="27"/>
    </row>
    <row r="133" spans="2:18" x14ac:dyDescent="0.3">
      <c r="C133" s="27"/>
    </row>
    <row r="134" spans="2:18" x14ac:dyDescent="0.3">
      <c r="C134" s="27"/>
    </row>
    <row r="135" spans="2:18" ht="28.8" x14ac:dyDescent="0.3">
      <c r="B135" s="335" t="s">
        <v>244</v>
      </c>
      <c r="C135" s="336"/>
      <c r="D135" s="336"/>
      <c r="E135" s="336"/>
      <c r="F135" s="336"/>
      <c r="G135" s="336"/>
      <c r="H135" s="336"/>
      <c r="I135" s="336"/>
      <c r="J135" s="336"/>
      <c r="K135" s="336"/>
      <c r="L135" s="336"/>
      <c r="M135" s="336"/>
      <c r="N135" s="336"/>
      <c r="O135" s="336"/>
      <c r="P135" s="336"/>
      <c r="Q135" s="336"/>
      <c r="R135" s="336"/>
    </row>
    <row r="136" spans="2:18" ht="28.8" x14ac:dyDescent="0.3">
      <c r="B136" s="72" t="s">
        <v>1</v>
      </c>
      <c r="C136" s="224" t="s">
        <v>2</v>
      </c>
      <c r="D136" s="224"/>
      <c r="E136" s="8" t="s">
        <v>3</v>
      </c>
      <c r="F136" s="98" t="s">
        <v>4</v>
      </c>
      <c r="G136" s="98" t="s">
        <v>200</v>
      </c>
      <c r="H136" s="98" t="s">
        <v>153</v>
      </c>
      <c r="I136" s="3" t="s">
        <v>201</v>
      </c>
      <c r="J136" s="3" t="s">
        <v>52</v>
      </c>
      <c r="K136" s="2" t="s">
        <v>9</v>
      </c>
      <c r="L136" s="2" t="s">
        <v>10</v>
      </c>
      <c r="M136" s="2" t="s">
        <v>11</v>
      </c>
      <c r="N136" s="8" t="s">
        <v>12</v>
      </c>
      <c r="O136" s="102" t="s">
        <v>13</v>
      </c>
      <c r="P136" s="102" t="s">
        <v>14</v>
      </c>
      <c r="Q136" s="102" t="s">
        <v>155</v>
      </c>
      <c r="R136" s="78" t="s">
        <v>156</v>
      </c>
    </row>
    <row r="137" spans="2:18" x14ac:dyDescent="0.3">
      <c r="B137" s="305" t="s">
        <v>117</v>
      </c>
      <c r="C137" s="243" t="s">
        <v>195</v>
      </c>
      <c r="D137" s="42" t="s">
        <v>18</v>
      </c>
      <c r="E137" s="43">
        <v>1900</v>
      </c>
      <c r="F137" s="43">
        <v>300</v>
      </c>
      <c r="G137" s="43">
        <v>175</v>
      </c>
      <c r="H137" s="43">
        <v>150</v>
      </c>
      <c r="I137" s="43">
        <v>75</v>
      </c>
      <c r="J137" s="43">
        <v>50</v>
      </c>
      <c r="K137" s="213">
        <f>SUM(E137:J137)</f>
        <v>2650</v>
      </c>
      <c r="L137" s="43">
        <v>200</v>
      </c>
      <c r="M137" s="213">
        <f>SUM(K137:L137)</f>
        <v>2850</v>
      </c>
      <c r="N137" s="48">
        <v>30</v>
      </c>
      <c r="O137" s="175" t="s">
        <v>181</v>
      </c>
      <c r="P137" s="42" t="s">
        <v>66</v>
      </c>
      <c r="Q137" s="68" t="s">
        <v>186</v>
      </c>
      <c r="R137" s="79" t="s">
        <v>187</v>
      </c>
    </row>
    <row r="138" spans="2:18" x14ac:dyDescent="0.3">
      <c r="B138" s="305"/>
      <c r="C138" s="243"/>
      <c r="D138" s="42" t="s">
        <v>24</v>
      </c>
      <c r="E138" s="43">
        <v>2100</v>
      </c>
      <c r="F138" s="43">
        <v>300</v>
      </c>
      <c r="G138" s="43">
        <v>175</v>
      </c>
      <c r="H138" s="43">
        <v>150</v>
      </c>
      <c r="I138" s="43">
        <v>150</v>
      </c>
      <c r="J138" s="43">
        <v>50</v>
      </c>
      <c r="K138" s="213">
        <f>SUM(E138:J138)</f>
        <v>2925</v>
      </c>
      <c r="L138" s="43">
        <v>200</v>
      </c>
      <c r="M138" s="213">
        <f>SUM(K138:L138)</f>
        <v>3125</v>
      </c>
      <c r="N138" s="48">
        <v>30</v>
      </c>
      <c r="O138" s="175" t="s">
        <v>181</v>
      </c>
      <c r="P138" s="42" t="s">
        <v>66</v>
      </c>
      <c r="Q138" s="68" t="s">
        <v>186</v>
      </c>
      <c r="R138" s="79" t="s">
        <v>187</v>
      </c>
    </row>
    <row r="139" spans="2:18" x14ac:dyDescent="0.3">
      <c r="B139" s="305" t="s">
        <v>190</v>
      </c>
      <c r="C139" s="243" t="s">
        <v>195</v>
      </c>
      <c r="D139" s="42" t="s">
        <v>18</v>
      </c>
      <c r="E139" s="43">
        <f>CEILING((((1300+130+10+72+20+100)*1.15)-100)-150,50)</f>
        <v>1650</v>
      </c>
      <c r="F139" s="43">
        <v>160</v>
      </c>
      <c r="G139" s="43">
        <v>175</v>
      </c>
      <c r="H139" s="43">
        <v>215</v>
      </c>
      <c r="I139" s="43">
        <v>75</v>
      </c>
      <c r="J139" s="43">
        <v>50</v>
      </c>
      <c r="K139" s="213">
        <f>SUM(E139:J139)</f>
        <v>2325</v>
      </c>
      <c r="L139" s="43">
        <v>200</v>
      </c>
      <c r="M139" s="213">
        <f>SUM(K139:L139)</f>
        <v>2525</v>
      </c>
      <c r="N139" s="48">
        <v>30</v>
      </c>
      <c r="O139" s="175" t="s">
        <v>181</v>
      </c>
      <c r="P139" s="42" t="s">
        <v>66</v>
      </c>
      <c r="Q139" s="68" t="s">
        <v>186</v>
      </c>
      <c r="R139" s="79" t="s">
        <v>187</v>
      </c>
    </row>
    <row r="140" spans="2:18" x14ac:dyDescent="0.3">
      <c r="B140" s="305"/>
      <c r="C140" s="243"/>
      <c r="D140" s="42" t="s">
        <v>24</v>
      </c>
      <c r="E140" s="43">
        <f>CEILING((((1400+260+10+72+20+150)*1.15)-150)-150,50)</f>
        <v>1900</v>
      </c>
      <c r="F140" s="43">
        <v>160</v>
      </c>
      <c r="G140" s="43">
        <v>175</v>
      </c>
      <c r="H140" s="43">
        <v>215</v>
      </c>
      <c r="I140" s="43">
        <v>150</v>
      </c>
      <c r="J140" s="43">
        <v>50</v>
      </c>
      <c r="K140" s="213">
        <f>SUM(E140:J140)</f>
        <v>2650</v>
      </c>
      <c r="L140" s="43">
        <v>200</v>
      </c>
      <c r="M140" s="213">
        <f>SUM(K140:L140)</f>
        <v>2850</v>
      </c>
      <c r="N140" s="48">
        <v>30</v>
      </c>
      <c r="O140" s="175" t="s">
        <v>181</v>
      </c>
      <c r="P140" s="42" t="s">
        <v>66</v>
      </c>
      <c r="Q140" s="68" t="s">
        <v>186</v>
      </c>
      <c r="R140" s="79" t="s">
        <v>187</v>
      </c>
    </row>
  </sheetData>
  <sheetProtection algorithmName="SHA-512" hashValue="gB4ymK6JQkCc+6kL937OEO4PdkxaX2iEhQWkT9BhIMWi6W8iesj4DFpW0l0K+Zks9+yUSGNk8kQq5qy/NfXpnA==" saltValue="bl5bfjEbCm+HpdH5b+BWsw==" spinCount="100000" sheet="1" objects="1" scenarios="1"/>
  <mergeCells count="77">
    <mergeCell ref="C136:D136"/>
    <mergeCell ref="B139:B140"/>
    <mergeCell ref="C139:C140"/>
    <mergeCell ref="C78:D78"/>
    <mergeCell ref="C83:C84"/>
    <mergeCell ref="B98:R98"/>
    <mergeCell ref="B79:B80"/>
    <mergeCell ref="C79:C80"/>
    <mergeCell ref="D85:E85"/>
    <mergeCell ref="B86:R86"/>
    <mergeCell ref="B87:R90"/>
    <mergeCell ref="Q79:Q80"/>
    <mergeCell ref="B81:Q81"/>
    <mergeCell ref="C82:D82"/>
    <mergeCell ref="B83:B84"/>
    <mergeCell ref="C99:D99"/>
    <mergeCell ref="Q99:R99"/>
    <mergeCell ref="B100:B101"/>
    <mergeCell ref="C100:C101"/>
    <mergeCell ref="Q100:R101"/>
    <mergeCell ref="Q83:Q84"/>
    <mergeCell ref="C117:D117"/>
    <mergeCell ref="B118:B119"/>
    <mergeCell ref="C118:C119"/>
    <mergeCell ref="B122:R125"/>
    <mergeCell ref="B104:R107"/>
    <mergeCell ref="B116:Q116"/>
    <mergeCell ref="B77:Q77"/>
    <mergeCell ref="C62:C63"/>
    <mergeCell ref="B64:Q64"/>
    <mergeCell ref="C65:D65"/>
    <mergeCell ref="B66:B67"/>
    <mergeCell ref="C66:C67"/>
    <mergeCell ref="Q66:Q67"/>
    <mergeCell ref="B70:B71"/>
    <mergeCell ref="C70:C71"/>
    <mergeCell ref="B62:B63"/>
    <mergeCell ref="Q70:Q71"/>
    <mergeCell ref="Q74:Q76"/>
    <mergeCell ref="B68:Q68"/>
    <mergeCell ref="C69:D69"/>
    <mergeCell ref="Q62:Q63"/>
    <mergeCell ref="C61:D61"/>
    <mergeCell ref="B72:Q72"/>
    <mergeCell ref="C73:D73"/>
    <mergeCell ref="B74:B75"/>
    <mergeCell ref="C74:C75"/>
    <mergeCell ref="B60:Q60"/>
    <mergeCell ref="B34:B35"/>
    <mergeCell ref="C34:C35"/>
    <mergeCell ref="B42:P45"/>
    <mergeCell ref="B54:Q54"/>
    <mergeCell ref="C55:D55"/>
    <mergeCell ref="B36:B37"/>
    <mergeCell ref="P34:Q38"/>
    <mergeCell ref="C36:C37"/>
    <mergeCell ref="C33:D33"/>
    <mergeCell ref="B56:B57"/>
    <mergeCell ref="C56:C57"/>
    <mergeCell ref="B58:B59"/>
    <mergeCell ref="C58:C59"/>
    <mergeCell ref="B137:B138"/>
    <mergeCell ref="C137:C138"/>
    <mergeCell ref="B135:R135"/>
    <mergeCell ref="D8:E8"/>
    <mergeCell ref="C10:D10"/>
    <mergeCell ref="B11:B12"/>
    <mergeCell ref="C11:C12"/>
    <mergeCell ref="B13:B14"/>
    <mergeCell ref="C13:C14"/>
    <mergeCell ref="B9:P9"/>
    <mergeCell ref="B15:B16"/>
    <mergeCell ref="C15:C16"/>
    <mergeCell ref="P33:Q33"/>
    <mergeCell ref="B32:Q32"/>
    <mergeCell ref="B18:P18"/>
    <mergeCell ref="B19:P22"/>
  </mergeCells>
  <phoneticPr fontId="12" alignment="center"/>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549FA-E693-4341-8608-02CBC87BFB52}">
  <sheetPr>
    <pageSetUpPr fitToPage="1"/>
  </sheetPr>
  <dimension ref="B8:T44"/>
  <sheetViews>
    <sheetView topLeftCell="A13" zoomScaleNormal="100" zoomScaleSheetLayoutView="100" workbookViewId="0">
      <selection activeCell="J11" sqref="J11"/>
    </sheetView>
  </sheetViews>
  <sheetFormatPr defaultColWidth="9.109375" defaultRowHeight="14.4" x14ac:dyDescent="0.3"/>
  <cols>
    <col min="1" max="1" width="9.109375" style="17"/>
    <col min="2" max="2" width="11.88671875" style="17" bestFit="1" customWidth="1"/>
    <col min="3" max="3" width="10.6640625" style="17" bestFit="1" customWidth="1"/>
    <col min="4" max="4" width="5.6640625" style="17" bestFit="1" customWidth="1"/>
    <col min="5" max="5" width="14" style="17" customWidth="1"/>
    <col min="6" max="6" width="14.88671875" style="41" bestFit="1" customWidth="1"/>
    <col min="7" max="8" width="13" style="41" customWidth="1"/>
    <col min="9" max="9" width="15.33203125" style="41" customWidth="1"/>
    <col min="10" max="10" width="12.6640625" style="17" bestFit="1" customWidth="1"/>
    <col min="11" max="11" width="16.6640625" style="17" bestFit="1" customWidth="1"/>
    <col min="12" max="12" width="13.6640625" style="17" customWidth="1"/>
    <col min="13" max="13" width="17.88671875" style="17" customWidth="1"/>
    <col min="14" max="14" width="16.33203125" style="17" customWidth="1"/>
    <col min="15" max="15" width="25.33203125" style="17" bestFit="1" customWidth="1"/>
    <col min="16" max="16" width="11" style="17" bestFit="1" customWidth="1"/>
    <col min="17" max="17" width="14.44140625" style="17" customWidth="1"/>
    <col min="18" max="18" width="9.6640625" style="17" customWidth="1"/>
    <col min="19" max="19" width="7.109375" style="17" bestFit="1" customWidth="1"/>
    <col min="20" max="20" width="15.5546875" style="17" hidden="1" customWidth="1"/>
    <col min="21" max="21" width="8.5546875" style="17" customWidth="1"/>
    <col min="22" max="23" width="9.109375" style="17"/>
    <col min="24" max="24" width="10.33203125" style="17" bestFit="1" customWidth="1"/>
    <col min="25" max="16384" width="9.109375" style="17"/>
  </cols>
  <sheetData>
    <row r="8" spans="2:19" ht="28.8" x14ac:dyDescent="0.3">
      <c r="B8" s="292" t="s">
        <v>245</v>
      </c>
      <c r="C8" s="257"/>
      <c r="D8" s="257"/>
      <c r="E8" s="257"/>
      <c r="F8" s="257"/>
      <c r="G8" s="257"/>
      <c r="H8" s="257"/>
      <c r="I8" s="257"/>
      <c r="J8" s="257"/>
      <c r="K8" s="257"/>
      <c r="L8" s="257"/>
      <c r="M8" s="257"/>
      <c r="N8" s="257"/>
      <c r="O8" s="257"/>
      <c r="P8" s="257"/>
      <c r="Q8" s="257"/>
    </row>
    <row r="9" spans="2:19" ht="57.6" x14ac:dyDescent="0.3">
      <c r="B9" s="72" t="s">
        <v>1</v>
      </c>
      <c r="C9" s="224" t="s">
        <v>2</v>
      </c>
      <c r="D9" s="224"/>
      <c r="E9" s="98" t="s">
        <v>3</v>
      </c>
      <c r="F9" s="3" t="s">
        <v>125</v>
      </c>
      <c r="G9" s="98" t="s">
        <v>126</v>
      </c>
      <c r="H9" s="98" t="s">
        <v>246</v>
      </c>
      <c r="I9" s="3" t="s">
        <v>128</v>
      </c>
      <c r="J9" s="3" t="s">
        <v>111</v>
      </c>
      <c r="K9" s="3" t="s">
        <v>127</v>
      </c>
      <c r="L9" s="3" t="s">
        <v>54</v>
      </c>
      <c r="M9" s="3" t="s">
        <v>10</v>
      </c>
      <c r="N9" s="3" t="s">
        <v>11</v>
      </c>
      <c r="O9" s="3" t="s">
        <v>12</v>
      </c>
      <c r="P9" s="98" t="s">
        <v>13</v>
      </c>
      <c r="Q9" s="98" t="s">
        <v>14</v>
      </c>
    </row>
    <row r="10" spans="2:19" x14ac:dyDescent="0.3">
      <c r="B10" s="251" t="s">
        <v>31</v>
      </c>
      <c r="C10" s="226" t="s">
        <v>130</v>
      </c>
      <c r="D10" s="94" t="s">
        <v>18</v>
      </c>
      <c r="E10" s="129">
        <v>350</v>
      </c>
      <c r="F10" s="129">
        <v>160</v>
      </c>
      <c r="G10" s="70">
        <v>340</v>
      </c>
      <c r="H10" s="70">
        <v>97.87</v>
      </c>
      <c r="I10" s="70">
        <v>160</v>
      </c>
      <c r="J10" s="70">
        <v>50</v>
      </c>
      <c r="K10" s="183">
        <v>62.7</v>
      </c>
      <c r="L10" s="71">
        <f>SUM(E10:K10)</f>
        <v>1220.57</v>
      </c>
      <c r="M10" s="70">
        <v>200</v>
      </c>
      <c r="N10" s="71">
        <f>L10+M10</f>
        <v>1420.57</v>
      </c>
      <c r="O10" s="173" t="s">
        <v>131</v>
      </c>
      <c r="P10" s="180" t="s">
        <v>21</v>
      </c>
      <c r="Q10" s="69" t="s">
        <v>74</v>
      </c>
    </row>
    <row r="11" spans="2:19" x14ac:dyDescent="0.3">
      <c r="B11" s="281"/>
      <c r="C11" s="226"/>
      <c r="D11" s="94" t="s">
        <v>24</v>
      </c>
      <c r="E11" s="129">
        <v>500</v>
      </c>
      <c r="F11" s="129">
        <v>320</v>
      </c>
      <c r="G11" s="70">
        <v>340</v>
      </c>
      <c r="H11" s="70">
        <v>97.87</v>
      </c>
      <c r="I11" s="70">
        <v>210</v>
      </c>
      <c r="J11" s="70">
        <v>50</v>
      </c>
      <c r="K11" s="183">
        <v>62.7</v>
      </c>
      <c r="L11" s="71">
        <f>SUM(E11:K11)</f>
        <v>1580.57</v>
      </c>
      <c r="M11" s="70">
        <v>200</v>
      </c>
      <c r="N11" s="71">
        <f>L11+M11</f>
        <v>1780.57</v>
      </c>
      <c r="O11" s="173" t="s">
        <v>131</v>
      </c>
      <c r="P11" s="180" t="s">
        <v>21</v>
      </c>
      <c r="Q11" s="69" t="s">
        <v>74</v>
      </c>
    </row>
    <row r="12" spans="2:19" ht="28.8" x14ac:dyDescent="0.3">
      <c r="B12" s="292" t="s">
        <v>247</v>
      </c>
      <c r="C12" s="257"/>
      <c r="D12" s="257"/>
      <c r="E12" s="257"/>
      <c r="F12" s="257"/>
      <c r="G12" s="257"/>
      <c r="H12" s="257"/>
      <c r="I12" s="257"/>
      <c r="J12" s="257"/>
      <c r="K12" s="257"/>
      <c r="L12" s="257"/>
      <c r="M12" s="257"/>
      <c r="N12" s="257"/>
      <c r="O12" s="257"/>
      <c r="P12" s="257"/>
      <c r="Q12" s="257"/>
      <c r="R12" s="257"/>
    </row>
    <row r="13" spans="2:19" ht="57.6" x14ac:dyDescent="0.3">
      <c r="B13" s="72" t="s">
        <v>1</v>
      </c>
      <c r="C13" s="224" t="s">
        <v>2</v>
      </c>
      <c r="D13" s="224"/>
      <c r="E13" s="98" t="s">
        <v>3</v>
      </c>
      <c r="F13" s="3" t="s">
        <v>125</v>
      </c>
      <c r="G13" s="98" t="s">
        <v>126</v>
      </c>
      <c r="H13" s="98" t="s">
        <v>246</v>
      </c>
      <c r="I13" s="3" t="s">
        <v>128</v>
      </c>
      <c r="J13" s="3" t="s">
        <v>111</v>
      </c>
      <c r="K13" s="3" t="s">
        <v>248</v>
      </c>
      <c r="L13" s="3" t="s">
        <v>249</v>
      </c>
      <c r="M13" s="3" t="s">
        <v>250</v>
      </c>
      <c r="N13" s="3" t="s">
        <v>54</v>
      </c>
      <c r="O13" s="3" t="s">
        <v>10</v>
      </c>
      <c r="P13" s="3" t="s">
        <v>11</v>
      </c>
      <c r="Q13" s="3" t="s">
        <v>12</v>
      </c>
      <c r="R13" s="98" t="s">
        <v>13</v>
      </c>
      <c r="S13" s="98" t="s">
        <v>14</v>
      </c>
    </row>
    <row r="14" spans="2:19" x14ac:dyDescent="0.3">
      <c r="B14" s="226" t="s">
        <v>31</v>
      </c>
      <c r="C14" s="226" t="s">
        <v>195</v>
      </c>
      <c r="D14" s="94" t="s">
        <v>18</v>
      </c>
      <c r="E14" s="96">
        <v>350</v>
      </c>
      <c r="F14" s="129">
        <v>160</v>
      </c>
      <c r="G14" s="70">
        <v>340</v>
      </c>
      <c r="H14" s="70">
        <v>97.87</v>
      </c>
      <c r="I14" s="70">
        <v>150</v>
      </c>
      <c r="J14" s="70">
        <v>50</v>
      </c>
      <c r="K14" s="70">
        <v>165</v>
      </c>
      <c r="L14" s="70">
        <v>175</v>
      </c>
      <c r="M14" s="183">
        <v>66</v>
      </c>
      <c r="N14" s="71">
        <f>SUM(E14:M14)</f>
        <v>1553.87</v>
      </c>
      <c r="O14" s="70">
        <v>200</v>
      </c>
      <c r="P14" s="71">
        <f>N14+O14</f>
        <v>1753.87</v>
      </c>
      <c r="Q14" s="173" t="s">
        <v>131</v>
      </c>
      <c r="R14" s="180" t="s">
        <v>21</v>
      </c>
      <c r="S14" s="69" t="s">
        <v>74</v>
      </c>
    </row>
    <row r="15" spans="2:19" x14ac:dyDescent="0.3">
      <c r="B15" s="226"/>
      <c r="C15" s="226"/>
      <c r="D15" s="94" t="s">
        <v>24</v>
      </c>
      <c r="E15" s="96">
        <v>500</v>
      </c>
      <c r="F15" s="129">
        <v>320</v>
      </c>
      <c r="G15" s="70">
        <v>340</v>
      </c>
      <c r="H15" s="70">
        <v>97.87</v>
      </c>
      <c r="I15" s="70">
        <v>200</v>
      </c>
      <c r="J15" s="70">
        <v>50</v>
      </c>
      <c r="K15" s="70">
        <v>165</v>
      </c>
      <c r="L15" s="70">
        <v>175</v>
      </c>
      <c r="M15" s="183">
        <v>66</v>
      </c>
      <c r="N15" s="71">
        <f>SUM(E15:M15)</f>
        <v>1913.87</v>
      </c>
      <c r="O15" s="70">
        <v>200</v>
      </c>
      <c r="P15" s="71">
        <f>N15+O15</f>
        <v>2113.87</v>
      </c>
      <c r="Q15" s="173" t="s">
        <v>131</v>
      </c>
      <c r="R15" s="180" t="s">
        <v>21</v>
      </c>
      <c r="S15" s="69" t="s">
        <v>74</v>
      </c>
    </row>
    <row r="16" spans="2:19" ht="28.8" x14ac:dyDescent="0.3">
      <c r="B16" s="371" t="s">
        <v>251</v>
      </c>
      <c r="C16" s="372"/>
      <c r="D16" s="372"/>
      <c r="E16" s="372"/>
      <c r="F16" s="372"/>
      <c r="G16" s="372"/>
      <c r="H16" s="372"/>
      <c r="I16" s="372"/>
      <c r="J16" s="372"/>
      <c r="K16" s="372"/>
      <c r="L16" s="372"/>
      <c r="M16" s="372"/>
      <c r="N16" s="372"/>
      <c r="O16" s="372"/>
      <c r="P16" s="372"/>
      <c r="Q16" s="372"/>
    </row>
    <row r="17" spans="2:17" ht="28.8" x14ac:dyDescent="0.3">
      <c r="B17" s="72" t="s">
        <v>1</v>
      </c>
      <c r="C17" s="224" t="s">
        <v>2</v>
      </c>
      <c r="D17" s="224"/>
      <c r="E17" s="98" t="s">
        <v>3</v>
      </c>
      <c r="F17" s="3" t="s">
        <v>125</v>
      </c>
      <c r="G17" s="98" t="s">
        <v>126</v>
      </c>
      <c r="H17" s="98" t="s">
        <v>246</v>
      </c>
      <c r="I17" s="3" t="s">
        <v>111</v>
      </c>
      <c r="J17" s="3" t="s">
        <v>54</v>
      </c>
      <c r="K17" s="3" t="s">
        <v>10</v>
      </c>
      <c r="L17" s="3" t="s">
        <v>11</v>
      </c>
      <c r="M17" s="3" t="s">
        <v>12</v>
      </c>
      <c r="N17" s="98" t="s">
        <v>13</v>
      </c>
      <c r="O17" s="98" t="s">
        <v>14</v>
      </c>
      <c r="P17" s="368" t="s">
        <v>155</v>
      </c>
      <c r="Q17" s="369"/>
    </row>
    <row r="18" spans="2:17" x14ac:dyDescent="0.3">
      <c r="B18" s="226" t="s">
        <v>31</v>
      </c>
      <c r="C18" s="226" t="s">
        <v>252</v>
      </c>
      <c r="D18" s="94" t="s">
        <v>18</v>
      </c>
      <c r="E18" s="96">
        <v>1000</v>
      </c>
      <c r="F18" s="70">
        <v>130</v>
      </c>
      <c r="G18" s="70">
        <v>355</v>
      </c>
      <c r="H18" s="70">
        <v>76.5</v>
      </c>
      <c r="I18" s="70">
        <v>50</v>
      </c>
      <c r="J18" s="71">
        <f>SUM(E18:I18)</f>
        <v>1611.5</v>
      </c>
      <c r="K18" s="70">
        <v>200</v>
      </c>
      <c r="L18" s="71">
        <f>J18+K18</f>
        <v>1811.5</v>
      </c>
      <c r="M18" s="173" t="s">
        <v>131</v>
      </c>
      <c r="N18" s="180" t="s">
        <v>21</v>
      </c>
      <c r="O18" s="69" t="s">
        <v>46</v>
      </c>
      <c r="P18" s="180" t="s">
        <v>253</v>
      </c>
      <c r="Q18" s="42"/>
    </row>
    <row r="19" spans="2:17" x14ac:dyDescent="0.3">
      <c r="B19" s="226"/>
      <c r="C19" s="226"/>
      <c r="D19" s="94" t="s">
        <v>24</v>
      </c>
      <c r="E19" s="96">
        <v>2000</v>
      </c>
      <c r="F19" s="70">
        <v>260</v>
      </c>
      <c r="G19" s="70">
        <v>355</v>
      </c>
      <c r="H19" s="70">
        <v>76.5</v>
      </c>
      <c r="I19" s="70">
        <v>50</v>
      </c>
      <c r="J19" s="71">
        <f>SUM(E19:I19)</f>
        <v>2741.5</v>
      </c>
      <c r="K19" s="70">
        <v>200</v>
      </c>
      <c r="L19" s="71">
        <f>J19+K19</f>
        <v>2941.5</v>
      </c>
      <c r="M19" s="173" t="s">
        <v>131</v>
      </c>
      <c r="N19" s="180" t="s">
        <v>21</v>
      </c>
      <c r="O19" s="69" t="s">
        <v>46</v>
      </c>
      <c r="P19" s="180" t="s">
        <v>253</v>
      </c>
      <c r="Q19" s="42"/>
    </row>
    <row r="20" spans="2:17" ht="28.8" x14ac:dyDescent="0.3">
      <c r="B20" s="292" t="s">
        <v>254</v>
      </c>
      <c r="C20" s="257"/>
      <c r="D20" s="257"/>
      <c r="E20" s="257"/>
      <c r="F20" s="257"/>
      <c r="G20" s="257"/>
      <c r="H20" s="257"/>
      <c r="I20" s="257"/>
      <c r="J20" s="257"/>
      <c r="K20" s="257"/>
      <c r="L20" s="257"/>
      <c r="M20" s="257"/>
      <c r="N20" s="257"/>
      <c r="O20" s="257"/>
      <c r="P20" s="49"/>
    </row>
    <row r="21" spans="2:17" ht="28.8" x14ac:dyDescent="0.3">
      <c r="B21" s="72" t="s">
        <v>1</v>
      </c>
      <c r="C21" s="224" t="s">
        <v>2</v>
      </c>
      <c r="D21" s="224"/>
      <c r="E21" s="98" t="s">
        <v>3</v>
      </c>
      <c r="F21" s="98" t="s">
        <v>126</v>
      </c>
      <c r="G21" s="98" t="s">
        <v>246</v>
      </c>
      <c r="H21" s="3" t="s">
        <v>111</v>
      </c>
      <c r="I21" s="3" t="s">
        <v>54</v>
      </c>
      <c r="J21" s="3" t="s">
        <v>10</v>
      </c>
      <c r="K21" s="3" t="s">
        <v>11</v>
      </c>
      <c r="L21" s="3" t="s">
        <v>12</v>
      </c>
      <c r="M21" s="98" t="s">
        <v>13</v>
      </c>
      <c r="N21" s="98" t="s">
        <v>14</v>
      </c>
      <c r="O21" s="98" t="s">
        <v>155</v>
      </c>
      <c r="P21" s="49"/>
    </row>
    <row r="22" spans="2:17" x14ac:dyDescent="0.3">
      <c r="B22" s="226" t="s">
        <v>31</v>
      </c>
      <c r="C22" s="226" t="s">
        <v>255</v>
      </c>
      <c r="D22" s="94" t="s">
        <v>18</v>
      </c>
      <c r="E22" s="124">
        <f>CEILING((((939+40)*1.15)-289),75)</f>
        <v>900</v>
      </c>
      <c r="F22" s="70">
        <v>259</v>
      </c>
      <c r="G22" s="70">
        <v>84.38</v>
      </c>
      <c r="H22" s="70">
        <v>50</v>
      </c>
      <c r="I22" s="71">
        <f>SUM(E22:H22)</f>
        <v>1293.3800000000001</v>
      </c>
      <c r="J22" s="70">
        <v>200</v>
      </c>
      <c r="K22" s="71">
        <f>I22+J22</f>
        <v>1493.38</v>
      </c>
      <c r="L22" s="173" t="s">
        <v>198</v>
      </c>
      <c r="M22" s="180" t="s">
        <v>21</v>
      </c>
      <c r="N22" s="69" t="s">
        <v>66</v>
      </c>
      <c r="O22" s="180" t="s">
        <v>253</v>
      </c>
      <c r="P22" s="49"/>
    </row>
    <row r="23" spans="2:17" x14ac:dyDescent="0.3">
      <c r="B23" s="226"/>
      <c r="C23" s="226"/>
      <c r="D23" s="94" t="s">
        <v>24</v>
      </c>
      <c r="E23" s="124">
        <f>CEILING((((939+40)*1.15)-289),50)</f>
        <v>850</v>
      </c>
      <c r="F23" s="70">
        <v>259</v>
      </c>
      <c r="G23" s="70">
        <v>84.38</v>
      </c>
      <c r="H23" s="70">
        <v>50</v>
      </c>
      <c r="I23" s="71">
        <f>SUM(E23:H23)</f>
        <v>1243.3800000000001</v>
      </c>
      <c r="J23" s="70">
        <v>200</v>
      </c>
      <c r="K23" s="71">
        <f>I23+J23</f>
        <v>1443.38</v>
      </c>
      <c r="L23" s="173" t="s">
        <v>198</v>
      </c>
      <c r="M23" s="180" t="s">
        <v>21</v>
      </c>
      <c r="N23" s="69" t="s">
        <v>66</v>
      </c>
      <c r="O23" s="180" t="s">
        <v>253</v>
      </c>
      <c r="P23" s="49"/>
    </row>
    <row r="24" spans="2:17" ht="28.8" x14ac:dyDescent="0.3">
      <c r="B24" s="327" t="s">
        <v>254</v>
      </c>
      <c r="C24" s="370"/>
      <c r="D24" s="370"/>
      <c r="E24" s="370"/>
      <c r="F24" s="370"/>
      <c r="G24" s="370"/>
      <c r="H24" s="370"/>
      <c r="I24" s="370"/>
      <c r="J24" s="370"/>
      <c r="K24" s="370"/>
      <c r="L24" s="370"/>
      <c r="M24" s="370"/>
      <c r="N24" s="370"/>
      <c r="O24" s="370"/>
      <c r="P24" s="370"/>
      <c r="Q24" s="370"/>
    </row>
    <row r="25" spans="2:17" ht="28.8" x14ac:dyDescent="0.3">
      <c r="B25" s="72" t="s">
        <v>1</v>
      </c>
      <c r="C25" s="224" t="s">
        <v>2</v>
      </c>
      <c r="D25" s="224"/>
      <c r="E25" s="98" t="s">
        <v>3</v>
      </c>
      <c r="F25" s="3" t="s">
        <v>125</v>
      </c>
      <c r="G25" s="98" t="s">
        <v>126</v>
      </c>
      <c r="H25" s="98" t="s">
        <v>246</v>
      </c>
      <c r="I25" s="3" t="s">
        <v>111</v>
      </c>
      <c r="J25" s="3" t="s">
        <v>54</v>
      </c>
      <c r="K25" s="3" t="s">
        <v>10</v>
      </c>
      <c r="L25" s="3" t="s">
        <v>11</v>
      </c>
      <c r="M25" s="3" t="s">
        <v>12</v>
      </c>
      <c r="N25" s="98" t="s">
        <v>13</v>
      </c>
      <c r="O25" s="98" t="s">
        <v>14</v>
      </c>
      <c r="P25" s="368" t="s">
        <v>155</v>
      </c>
      <c r="Q25" s="369"/>
    </row>
    <row r="26" spans="2:17" x14ac:dyDescent="0.3">
      <c r="B26" s="226" t="s">
        <v>17</v>
      </c>
      <c r="C26" s="226" t="s">
        <v>255</v>
      </c>
      <c r="D26" s="94" t="s">
        <v>18</v>
      </c>
      <c r="E26" s="124">
        <f>CEILING((((604)*1.15)),75)</f>
        <v>750</v>
      </c>
      <c r="F26" s="70">
        <v>130</v>
      </c>
      <c r="G26" s="70">
        <v>355</v>
      </c>
      <c r="H26" s="70">
        <v>76.5</v>
      </c>
      <c r="I26" s="70">
        <v>50</v>
      </c>
      <c r="J26" s="71">
        <f>SUM(E26:I26)</f>
        <v>1361.5</v>
      </c>
      <c r="K26" s="70">
        <v>200</v>
      </c>
      <c r="L26" s="71">
        <f>J26+K26</f>
        <v>1561.5</v>
      </c>
      <c r="M26" s="173" t="s">
        <v>131</v>
      </c>
      <c r="N26" s="180" t="s">
        <v>21</v>
      </c>
      <c r="O26" s="69" t="s">
        <v>46</v>
      </c>
      <c r="P26" s="180" t="s">
        <v>253</v>
      </c>
      <c r="Q26" s="42"/>
    </row>
    <row r="27" spans="2:17" x14ac:dyDescent="0.3">
      <c r="B27" s="226"/>
      <c r="C27" s="226"/>
      <c r="D27" s="94" t="s">
        <v>24</v>
      </c>
      <c r="E27" s="124">
        <f>CEILING((((999)*1.15)),75)</f>
        <v>1200</v>
      </c>
      <c r="F27" s="70">
        <v>260</v>
      </c>
      <c r="G27" s="70">
        <v>355</v>
      </c>
      <c r="H27" s="70">
        <v>76.5</v>
      </c>
      <c r="I27" s="70">
        <v>50</v>
      </c>
      <c r="J27" s="71">
        <f>SUM(E27:I27)</f>
        <v>1941.5</v>
      </c>
      <c r="K27" s="70">
        <v>200</v>
      </c>
      <c r="L27" s="71">
        <f>J27+K27</f>
        <v>2141.5</v>
      </c>
      <c r="M27" s="173" t="s">
        <v>131</v>
      </c>
      <c r="N27" s="180" t="s">
        <v>21</v>
      </c>
      <c r="O27" s="69" t="s">
        <v>46</v>
      </c>
      <c r="P27" s="180" t="s">
        <v>253</v>
      </c>
      <c r="Q27" s="42"/>
    </row>
    <row r="28" spans="2:17" ht="28.8" x14ac:dyDescent="0.3">
      <c r="B28" s="292" t="s">
        <v>256</v>
      </c>
      <c r="C28" s="257"/>
      <c r="D28" s="257"/>
      <c r="E28" s="257"/>
      <c r="F28" s="257"/>
      <c r="G28" s="257"/>
      <c r="H28" s="257"/>
      <c r="I28" s="257"/>
      <c r="J28" s="257"/>
      <c r="K28" s="257"/>
      <c r="L28" s="257"/>
      <c r="M28" s="257"/>
      <c r="N28" s="257"/>
      <c r="O28" s="257"/>
      <c r="P28" s="49"/>
    </row>
    <row r="29" spans="2:17" ht="28.8" x14ac:dyDescent="0.3">
      <c r="B29" s="72" t="s">
        <v>1</v>
      </c>
      <c r="C29" s="224" t="s">
        <v>2</v>
      </c>
      <c r="D29" s="224"/>
      <c r="E29" s="98" t="s">
        <v>3</v>
      </c>
      <c r="F29" s="98" t="s">
        <v>126</v>
      </c>
      <c r="G29" s="98" t="s">
        <v>246</v>
      </c>
      <c r="H29" s="3" t="s">
        <v>111</v>
      </c>
      <c r="I29" s="3" t="s">
        <v>54</v>
      </c>
      <c r="J29" s="3" t="s">
        <v>10</v>
      </c>
      <c r="K29" s="3" t="s">
        <v>11</v>
      </c>
      <c r="L29" s="3" t="s">
        <v>12</v>
      </c>
      <c r="M29" s="98" t="s">
        <v>13</v>
      </c>
      <c r="N29" s="98" t="s">
        <v>14</v>
      </c>
      <c r="O29" s="98" t="s">
        <v>155</v>
      </c>
      <c r="P29" s="49"/>
    </row>
    <row r="30" spans="2:17" ht="15" customHeight="1" x14ac:dyDescent="0.3">
      <c r="B30" s="226" t="s">
        <v>17</v>
      </c>
      <c r="C30" s="226" t="s">
        <v>257</v>
      </c>
      <c r="D30" s="94" t="s">
        <v>18</v>
      </c>
      <c r="E30" s="124">
        <f>CEILING((((490+5+85+15)*1.15)),75)</f>
        <v>750</v>
      </c>
      <c r="F30" s="70">
        <v>259</v>
      </c>
      <c r="G30" s="70">
        <f>60*1.125</f>
        <v>67.5</v>
      </c>
      <c r="H30" s="70">
        <v>60</v>
      </c>
      <c r="I30" s="71">
        <f>SUM(E30:H30)</f>
        <v>1136.5</v>
      </c>
      <c r="J30" s="70">
        <v>200</v>
      </c>
      <c r="K30" s="71">
        <f>I30+J30</f>
        <v>1336.5</v>
      </c>
      <c r="L30" s="173" t="s">
        <v>27</v>
      </c>
      <c r="M30" s="180" t="s">
        <v>21</v>
      </c>
      <c r="N30" s="69" t="s">
        <v>208</v>
      </c>
      <c r="O30" s="180" t="s">
        <v>253</v>
      </c>
      <c r="P30" s="49"/>
    </row>
    <row r="31" spans="2:17" x14ac:dyDescent="0.3">
      <c r="B31" s="226"/>
      <c r="C31" s="226"/>
      <c r="D31" s="94" t="s">
        <v>24</v>
      </c>
      <c r="E31" s="124">
        <f>CEILING((((500+5+175+15)*1.15)),75)</f>
        <v>825</v>
      </c>
      <c r="F31" s="70">
        <v>259</v>
      </c>
      <c r="G31" s="70">
        <f>60*1.125</f>
        <v>67.5</v>
      </c>
      <c r="H31" s="70">
        <v>60</v>
      </c>
      <c r="I31" s="71">
        <f>SUM(E31:H31)</f>
        <v>1211.5</v>
      </c>
      <c r="J31" s="70">
        <v>200</v>
      </c>
      <c r="K31" s="71">
        <f>I31+J31</f>
        <v>1411.5</v>
      </c>
      <c r="L31" s="173" t="s">
        <v>27</v>
      </c>
      <c r="M31" s="180" t="s">
        <v>21</v>
      </c>
      <c r="N31" s="69" t="s">
        <v>208</v>
      </c>
      <c r="O31" s="180" t="s">
        <v>253</v>
      </c>
      <c r="P31" s="49"/>
    </row>
    <row r="33" spans="2:17" ht="15.6" x14ac:dyDescent="0.3">
      <c r="B33" s="5" t="s">
        <v>34</v>
      </c>
      <c r="C33" s="6"/>
      <c r="D33" s="6"/>
      <c r="E33" s="6"/>
      <c r="F33" s="6"/>
      <c r="G33" s="6"/>
      <c r="H33" s="6"/>
      <c r="I33" s="6"/>
      <c r="J33" s="6"/>
      <c r="K33" s="6"/>
      <c r="L33" s="6"/>
      <c r="M33" s="6"/>
      <c r="N33" s="6"/>
      <c r="O33" s="6"/>
      <c r="P33" s="6"/>
      <c r="Q33" s="7"/>
    </row>
    <row r="34" spans="2:17" x14ac:dyDescent="0.3">
      <c r="B34" s="227" t="s">
        <v>35</v>
      </c>
      <c r="C34" s="228"/>
      <c r="D34" s="228"/>
      <c r="E34" s="228"/>
      <c r="F34" s="228"/>
      <c r="G34" s="228"/>
      <c r="H34" s="228"/>
      <c r="I34" s="228"/>
      <c r="J34" s="228"/>
      <c r="K34" s="228"/>
      <c r="L34" s="228"/>
      <c r="M34" s="228"/>
      <c r="N34" s="228"/>
      <c r="O34" s="228"/>
      <c r="P34" s="228"/>
      <c r="Q34" s="229"/>
    </row>
    <row r="35" spans="2:17" x14ac:dyDescent="0.3">
      <c r="B35" s="227"/>
      <c r="C35" s="228"/>
      <c r="D35" s="228"/>
      <c r="E35" s="228"/>
      <c r="F35" s="228"/>
      <c r="G35" s="228"/>
      <c r="H35" s="228"/>
      <c r="I35" s="228"/>
      <c r="J35" s="228"/>
      <c r="K35" s="228"/>
      <c r="L35" s="228"/>
      <c r="M35" s="228"/>
      <c r="N35" s="228"/>
      <c r="O35" s="228"/>
      <c r="P35" s="228"/>
      <c r="Q35" s="229"/>
    </row>
    <row r="36" spans="2:17" x14ac:dyDescent="0.3">
      <c r="B36" s="227"/>
      <c r="C36" s="228"/>
      <c r="D36" s="228"/>
      <c r="E36" s="228"/>
      <c r="F36" s="228"/>
      <c r="G36" s="228"/>
      <c r="H36" s="228"/>
      <c r="I36" s="228"/>
      <c r="J36" s="228"/>
      <c r="K36" s="228"/>
      <c r="L36" s="228"/>
      <c r="M36" s="228"/>
      <c r="N36" s="228"/>
      <c r="O36" s="228"/>
      <c r="P36" s="228"/>
      <c r="Q36" s="229"/>
    </row>
    <row r="37" spans="2:17" x14ac:dyDescent="0.3">
      <c r="B37" s="230"/>
      <c r="C37" s="231"/>
      <c r="D37" s="231"/>
      <c r="E37" s="231"/>
      <c r="F37" s="231"/>
      <c r="G37" s="231"/>
      <c r="H37" s="231"/>
      <c r="I37" s="231"/>
      <c r="J37" s="231"/>
      <c r="K37" s="231"/>
      <c r="L37" s="231"/>
      <c r="M37" s="231"/>
      <c r="N37" s="231"/>
      <c r="O37" s="231"/>
      <c r="P37" s="231"/>
      <c r="Q37" s="232"/>
    </row>
    <row r="38" spans="2:17" x14ac:dyDescent="0.3">
      <c r="B38" s="29"/>
      <c r="C38" s="29"/>
      <c r="D38" s="29"/>
      <c r="E38" s="29"/>
      <c r="F38" s="29"/>
      <c r="G38" s="29"/>
      <c r="H38" s="29"/>
      <c r="I38" s="29"/>
      <c r="J38" s="29"/>
      <c r="K38" s="29"/>
      <c r="L38" s="29"/>
      <c r="M38" s="29"/>
      <c r="N38" s="29"/>
      <c r="O38" s="29"/>
      <c r="P38" s="29"/>
      <c r="Q38" s="29"/>
    </row>
    <row r="39" spans="2:17" x14ac:dyDescent="0.3">
      <c r="B39" s="29"/>
      <c r="C39" s="29"/>
      <c r="D39" s="29"/>
      <c r="E39" s="29"/>
      <c r="F39" s="29"/>
      <c r="G39" s="29"/>
      <c r="H39" s="29"/>
      <c r="I39" s="29"/>
      <c r="J39" s="29"/>
      <c r="K39" s="29"/>
      <c r="L39" s="29"/>
      <c r="M39" s="29"/>
      <c r="N39" s="29"/>
      <c r="O39" s="29"/>
      <c r="P39" s="29"/>
      <c r="Q39" s="29"/>
    </row>
    <row r="40" spans="2:17" x14ac:dyDescent="0.3">
      <c r="B40" s="29"/>
      <c r="C40" s="29"/>
      <c r="D40" s="29"/>
      <c r="E40" s="29"/>
      <c r="F40" s="29"/>
      <c r="G40" s="29"/>
      <c r="H40" s="29"/>
      <c r="I40" s="29"/>
      <c r="J40" s="29"/>
      <c r="K40" s="29"/>
      <c r="L40" s="29"/>
      <c r="M40" s="29"/>
      <c r="N40" s="29"/>
      <c r="O40" s="29"/>
      <c r="P40" s="29"/>
      <c r="Q40" s="29"/>
    </row>
    <row r="41" spans="2:17" x14ac:dyDescent="0.3">
      <c r="B41" s="29"/>
      <c r="C41" s="29"/>
      <c r="D41" s="29"/>
      <c r="E41" s="29"/>
      <c r="F41" s="29"/>
      <c r="G41" s="29"/>
      <c r="H41" s="29"/>
      <c r="I41" s="29"/>
      <c r="J41" s="29"/>
      <c r="K41" s="29"/>
      <c r="L41" s="29"/>
      <c r="M41" s="29"/>
      <c r="N41" s="29"/>
      <c r="O41" s="29"/>
      <c r="P41" s="29"/>
      <c r="Q41" s="29"/>
    </row>
    <row r="42" spans="2:17" x14ac:dyDescent="0.3">
      <c r="B42" s="29"/>
      <c r="C42" s="29"/>
      <c r="D42" s="29"/>
      <c r="E42" s="29"/>
      <c r="F42" s="29"/>
      <c r="G42" s="29"/>
      <c r="H42" s="29"/>
      <c r="I42" s="29"/>
      <c r="J42" s="29"/>
      <c r="K42" s="29"/>
      <c r="L42" s="29"/>
      <c r="M42" s="29"/>
      <c r="N42" s="29"/>
      <c r="O42" s="29"/>
      <c r="P42" s="29"/>
      <c r="Q42" s="29"/>
    </row>
    <row r="43" spans="2:17" x14ac:dyDescent="0.3">
      <c r="B43" s="29"/>
      <c r="C43" s="29"/>
      <c r="D43" s="29"/>
      <c r="E43" s="29"/>
      <c r="F43" s="29"/>
      <c r="G43" s="29"/>
      <c r="H43" s="29"/>
      <c r="I43" s="29"/>
      <c r="J43" s="29"/>
      <c r="K43" s="29"/>
      <c r="L43" s="29"/>
      <c r="M43" s="29"/>
      <c r="N43" s="29"/>
      <c r="O43" s="29"/>
      <c r="P43" s="29"/>
      <c r="Q43" s="29"/>
    </row>
    <row r="44" spans="2:17" x14ac:dyDescent="0.3">
      <c r="B44" s="29"/>
      <c r="C44" s="29"/>
      <c r="D44" s="29"/>
      <c r="E44" s="29"/>
      <c r="F44" s="29"/>
      <c r="G44" s="29"/>
      <c r="H44" s="29"/>
      <c r="I44" s="29"/>
      <c r="J44" s="29"/>
      <c r="K44" s="29"/>
      <c r="L44" s="29"/>
      <c r="M44" s="29"/>
      <c r="N44" s="29"/>
      <c r="O44" s="29"/>
      <c r="P44" s="29"/>
      <c r="Q44" s="29"/>
    </row>
  </sheetData>
  <sheetProtection algorithmName="SHA-512" hashValue="URvoOxSNOWPSM58841iE0kLRE2BazAMhwW/sT9e9dWhxo/xHv34t8nF2iQkC0sVt4JnUXLfkAtv35huEQ7T7FQ==" saltValue="WorgN9H6dqay/5dZhBVdHw==" spinCount="100000" sheet="1" objects="1" scenarios="1"/>
  <mergeCells count="27">
    <mergeCell ref="B20:O20"/>
    <mergeCell ref="C18:C19"/>
    <mergeCell ref="B14:B15"/>
    <mergeCell ref="C14:C15"/>
    <mergeCell ref="B8:Q8"/>
    <mergeCell ref="C13:D13"/>
    <mergeCell ref="C17:D17"/>
    <mergeCell ref="B12:R12"/>
    <mergeCell ref="C9:D9"/>
    <mergeCell ref="B10:B11"/>
    <mergeCell ref="C10:C11"/>
    <mergeCell ref="B18:B19"/>
    <mergeCell ref="P17:Q17"/>
    <mergeCell ref="B16:Q16"/>
    <mergeCell ref="B34:Q37"/>
    <mergeCell ref="C21:D21"/>
    <mergeCell ref="B26:B27"/>
    <mergeCell ref="C26:C27"/>
    <mergeCell ref="B28:O28"/>
    <mergeCell ref="C29:D29"/>
    <mergeCell ref="B30:B31"/>
    <mergeCell ref="C30:C31"/>
    <mergeCell ref="B22:B23"/>
    <mergeCell ref="C22:C23"/>
    <mergeCell ref="C25:D25"/>
    <mergeCell ref="P25:Q25"/>
    <mergeCell ref="B24:Q24"/>
  </mergeCells>
  <printOptions horizontalCentered="1" verticalCentered="1"/>
  <pageMargins left="0.25" right="0.25" top="0.75" bottom="0.75" header="0.3" footer="0.3"/>
  <pageSetup paperSize="5" scale="54"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4923F-BF90-43C6-AAE4-37F84B517D54}">
  <dimension ref="B2:R25"/>
  <sheetViews>
    <sheetView topLeftCell="A7" workbookViewId="0">
      <selection activeCell="I36" sqref="I36"/>
    </sheetView>
  </sheetViews>
  <sheetFormatPr defaultColWidth="8.88671875" defaultRowHeight="14.4" x14ac:dyDescent="0.3"/>
  <cols>
    <col min="1" max="1" width="8.88671875" style="17"/>
    <col min="2" max="2" width="36.33203125" style="17" customWidth="1"/>
    <col min="3" max="3" width="12.88671875" style="17" bestFit="1" customWidth="1"/>
    <col min="4" max="4" width="8.88671875" style="17"/>
    <col min="5" max="5" width="10.109375" style="17" bestFit="1" customWidth="1"/>
    <col min="6" max="7" width="8.88671875" style="17"/>
    <col min="8" max="8" width="11.6640625" style="17" customWidth="1"/>
    <col min="9" max="9" width="11.44140625" style="17" customWidth="1"/>
    <col min="10" max="10" width="8.88671875" style="17"/>
    <col min="11" max="11" width="9.6640625" style="17" bestFit="1" customWidth="1"/>
    <col min="12" max="12" width="11.44140625" style="17" customWidth="1"/>
    <col min="13" max="13" width="9.6640625" style="17" customWidth="1"/>
    <col min="14" max="14" width="9.6640625" style="17" bestFit="1" customWidth="1"/>
    <col min="15" max="15" width="10.33203125" style="17" bestFit="1" customWidth="1"/>
    <col min="16" max="16" width="12.109375" style="17" customWidth="1"/>
    <col min="17" max="17" width="8.88671875" style="17"/>
    <col min="18" max="18" width="22.5546875" style="17" customWidth="1"/>
    <col min="19" max="16384" width="8.88671875" style="17"/>
  </cols>
  <sheetData>
    <row r="2" spans="2:18" x14ac:dyDescent="0.3">
      <c r="B2" s="29"/>
    </row>
    <row r="3" spans="2:18" x14ac:dyDescent="0.3">
      <c r="B3" s="29"/>
    </row>
    <row r="4" spans="2:18" x14ac:dyDescent="0.3">
      <c r="B4" s="29"/>
    </row>
    <row r="5" spans="2:18" x14ac:dyDescent="0.3">
      <c r="B5" s="29"/>
    </row>
    <row r="6" spans="2:18" x14ac:dyDescent="0.3">
      <c r="B6" s="29"/>
    </row>
    <row r="7" spans="2:18" x14ac:dyDescent="0.3">
      <c r="B7" s="29"/>
    </row>
    <row r="8" spans="2:18" ht="15" thickBot="1" x14ac:dyDescent="0.35"/>
    <row r="9" spans="2:18" ht="28.8" x14ac:dyDescent="0.3">
      <c r="B9" s="222" t="s">
        <v>258</v>
      </c>
      <c r="C9" s="223"/>
      <c r="D9" s="223"/>
      <c r="E9" s="223"/>
      <c r="F9" s="223"/>
      <c r="G9" s="223"/>
      <c r="H9" s="223"/>
      <c r="I9" s="223"/>
      <c r="J9" s="223"/>
      <c r="K9" s="223"/>
      <c r="L9" s="223"/>
      <c r="M9" s="223"/>
      <c r="N9" s="223"/>
      <c r="O9" s="223"/>
      <c r="P9" s="223"/>
      <c r="Q9" s="223"/>
      <c r="R9" s="223"/>
    </row>
    <row r="10" spans="2:18" ht="43.8" thickBot="1" x14ac:dyDescent="0.35">
      <c r="B10" s="72" t="s">
        <v>1</v>
      </c>
      <c r="C10" s="224" t="s">
        <v>2</v>
      </c>
      <c r="D10" s="224"/>
      <c r="E10" s="98" t="s">
        <v>3</v>
      </c>
      <c r="F10" s="98" t="s">
        <v>4</v>
      </c>
      <c r="G10" s="98" t="s">
        <v>259</v>
      </c>
      <c r="H10" s="3" t="s">
        <v>260</v>
      </c>
      <c r="I10" s="3" t="s">
        <v>51</v>
      </c>
      <c r="J10" s="3" t="s">
        <v>52</v>
      </c>
      <c r="K10" s="3" t="s">
        <v>54</v>
      </c>
      <c r="L10" s="3" t="s">
        <v>10</v>
      </c>
      <c r="M10" s="3" t="s">
        <v>11</v>
      </c>
      <c r="N10" s="3" t="s">
        <v>12</v>
      </c>
      <c r="O10" s="98" t="s">
        <v>13</v>
      </c>
      <c r="P10" s="98" t="s">
        <v>14</v>
      </c>
      <c r="Q10" s="224" t="s">
        <v>38</v>
      </c>
      <c r="R10" s="380"/>
    </row>
    <row r="11" spans="2:18" ht="20.399999999999999" hidden="1" customHeight="1" x14ac:dyDescent="0.3">
      <c r="B11" s="373" t="s">
        <v>261</v>
      </c>
      <c r="C11" s="271" t="s">
        <v>262</v>
      </c>
      <c r="D11" s="123" t="s">
        <v>18</v>
      </c>
      <c r="E11" s="124">
        <v>4200</v>
      </c>
      <c r="F11" s="125">
        <v>120</v>
      </c>
      <c r="G11" s="125">
        <v>75</v>
      </c>
      <c r="H11" s="125">
        <v>45</v>
      </c>
      <c r="I11" s="125">
        <v>45</v>
      </c>
      <c r="J11" s="125">
        <v>75</v>
      </c>
      <c r="K11" s="126">
        <f t="shared" ref="K11:K20" si="0">SUM(E11:J11)</f>
        <v>4560</v>
      </c>
      <c r="L11" s="125">
        <v>200</v>
      </c>
      <c r="M11" s="126">
        <f t="shared" ref="M11:M14" si="1">SUM(K11:L11)</f>
        <v>4760</v>
      </c>
      <c r="N11" s="127" t="s">
        <v>185</v>
      </c>
      <c r="O11" s="122" t="s">
        <v>263</v>
      </c>
      <c r="P11" s="127" t="s">
        <v>74</v>
      </c>
      <c r="Q11" s="374" t="s">
        <v>95</v>
      </c>
      <c r="R11" s="375"/>
    </row>
    <row r="12" spans="2:18" ht="22.2" hidden="1" customHeight="1" thickBot="1" x14ac:dyDescent="0.35">
      <c r="B12" s="373"/>
      <c r="C12" s="271"/>
      <c r="D12" s="123" t="s">
        <v>24</v>
      </c>
      <c r="E12" s="124">
        <v>4500</v>
      </c>
      <c r="F12" s="125">
        <v>120</v>
      </c>
      <c r="G12" s="125">
        <v>75</v>
      </c>
      <c r="H12" s="125">
        <v>45</v>
      </c>
      <c r="I12" s="125">
        <v>45</v>
      </c>
      <c r="J12" s="125">
        <v>75</v>
      </c>
      <c r="K12" s="126">
        <f t="shared" si="0"/>
        <v>4860</v>
      </c>
      <c r="L12" s="125">
        <v>200</v>
      </c>
      <c r="M12" s="126">
        <f t="shared" si="1"/>
        <v>5060</v>
      </c>
      <c r="N12" s="127" t="s">
        <v>185</v>
      </c>
      <c r="O12" s="122" t="s">
        <v>263</v>
      </c>
      <c r="P12" s="127" t="s">
        <v>74</v>
      </c>
      <c r="Q12" s="376"/>
      <c r="R12" s="377"/>
    </row>
    <row r="13" spans="2:18" ht="22.2" hidden="1" customHeight="1" x14ac:dyDescent="0.3">
      <c r="B13" s="258" t="s">
        <v>261</v>
      </c>
      <c r="C13" s="260" t="s">
        <v>117</v>
      </c>
      <c r="D13" s="123" t="s">
        <v>18</v>
      </c>
      <c r="E13" s="124">
        <v>1300</v>
      </c>
      <c r="F13" s="125">
        <v>125</v>
      </c>
      <c r="G13" s="125">
        <v>75</v>
      </c>
      <c r="H13" s="125">
        <v>35</v>
      </c>
      <c r="I13" s="125">
        <v>65</v>
      </c>
      <c r="J13" s="125">
        <v>75</v>
      </c>
      <c r="K13" s="126">
        <f t="shared" si="0"/>
        <v>1675</v>
      </c>
      <c r="L13" s="125">
        <v>200</v>
      </c>
      <c r="M13" s="126">
        <f t="shared" si="1"/>
        <v>1875</v>
      </c>
      <c r="N13" s="127" t="s">
        <v>185</v>
      </c>
      <c r="O13" s="122" t="s">
        <v>264</v>
      </c>
      <c r="P13" s="127" t="s">
        <v>265</v>
      </c>
      <c r="Q13" s="378" t="s">
        <v>266</v>
      </c>
      <c r="R13" s="379"/>
    </row>
    <row r="14" spans="2:18" ht="22.2" hidden="1" customHeight="1" thickBot="1" x14ac:dyDescent="0.35">
      <c r="B14" s="267"/>
      <c r="C14" s="268"/>
      <c r="D14" s="123" t="s">
        <v>24</v>
      </c>
      <c r="E14" s="124">
        <v>1700</v>
      </c>
      <c r="F14" s="125">
        <v>125</v>
      </c>
      <c r="G14" s="125">
        <v>75</v>
      </c>
      <c r="H14" s="125">
        <v>35</v>
      </c>
      <c r="I14" s="125">
        <v>65</v>
      </c>
      <c r="J14" s="125">
        <v>75</v>
      </c>
      <c r="K14" s="126">
        <f t="shared" si="0"/>
        <v>2075</v>
      </c>
      <c r="L14" s="125">
        <v>200</v>
      </c>
      <c r="M14" s="126">
        <f t="shared" si="1"/>
        <v>2275</v>
      </c>
      <c r="N14" s="127" t="s">
        <v>185</v>
      </c>
      <c r="O14" s="122" t="s">
        <v>264</v>
      </c>
      <c r="P14" s="127" t="s">
        <v>265</v>
      </c>
      <c r="Q14" s="376"/>
      <c r="R14" s="377"/>
    </row>
    <row r="15" spans="2:18" ht="22.2" hidden="1" customHeight="1" x14ac:dyDescent="0.3">
      <c r="B15" s="258" t="s">
        <v>261</v>
      </c>
      <c r="C15" s="260" t="s">
        <v>117</v>
      </c>
      <c r="D15" s="123" t="s">
        <v>18</v>
      </c>
      <c r="E15" s="124">
        <v>1500</v>
      </c>
      <c r="F15" s="125">
        <v>125</v>
      </c>
      <c r="G15" s="125">
        <v>75</v>
      </c>
      <c r="H15" s="125">
        <v>35</v>
      </c>
      <c r="I15" s="125">
        <v>65</v>
      </c>
      <c r="J15" s="125">
        <v>75</v>
      </c>
      <c r="K15" s="126">
        <f t="shared" si="0"/>
        <v>1875</v>
      </c>
      <c r="L15" s="125">
        <v>200</v>
      </c>
      <c r="M15" s="126">
        <f>SUM(K15:L15)</f>
        <v>2075</v>
      </c>
      <c r="N15" s="127" t="s">
        <v>185</v>
      </c>
      <c r="O15" s="122" t="s">
        <v>264</v>
      </c>
      <c r="P15" s="127" t="s">
        <v>175</v>
      </c>
      <c r="Q15" s="378" t="s">
        <v>267</v>
      </c>
      <c r="R15" s="379"/>
    </row>
    <row r="16" spans="2:18" ht="22.2" hidden="1" customHeight="1" x14ac:dyDescent="0.3">
      <c r="B16" s="267"/>
      <c r="C16" s="268"/>
      <c r="D16" s="123" t="s">
        <v>24</v>
      </c>
      <c r="E16" s="124">
        <v>1700</v>
      </c>
      <c r="F16" s="125">
        <v>125</v>
      </c>
      <c r="G16" s="125">
        <v>75</v>
      </c>
      <c r="H16" s="125">
        <v>35</v>
      </c>
      <c r="I16" s="125">
        <v>65</v>
      </c>
      <c r="J16" s="125">
        <v>75</v>
      </c>
      <c r="K16" s="126">
        <f t="shared" si="0"/>
        <v>2075</v>
      </c>
      <c r="L16" s="125">
        <v>200</v>
      </c>
      <c r="M16" s="126">
        <f>SUM(K16:L16)</f>
        <v>2275</v>
      </c>
      <c r="N16" s="127" t="s">
        <v>185</v>
      </c>
      <c r="O16" s="122" t="s">
        <v>264</v>
      </c>
      <c r="P16" s="127" t="s">
        <v>175</v>
      </c>
      <c r="Q16" s="376"/>
      <c r="R16" s="377"/>
    </row>
    <row r="17" spans="2:18" ht="30.6" hidden="1" customHeight="1" x14ac:dyDescent="0.3">
      <c r="B17" s="373" t="s">
        <v>261</v>
      </c>
      <c r="C17" s="271" t="s">
        <v>119</v>
      </c>
      <c r="D17" s="123" t="s">
        <v>18</v>
      </c>
      <c r="E17" s="124">
        <v>2800</v>
      </c>
      <c r="F17" s="125">
        <v>125</v>
      </c>
      <c r="G17" s="125">
        <v>75</v>
      </c>
      <c r="H17" s="125">
        <v>35</v>
      </c>
      <c r="I17" s="125">
        <v>65</v>
      </c>
      <c r="J17" s="125">
        <v>75</v>
      </c>
      <c r="K17" s="126">
        <f t="shared" si="0"/>
        <v>3175</v>
      </c>
      <c r="L17" s="125">
        <v>200</v>
      </c>
      <c r="M17" s="126">
        <f t="shared" ref="M17:M18" si="2">SUM(K17:L17)</f>
        <v>3375</v>
      </c>
      <c r="N17" s="127" t="s">
        <v>268</v>
      </c>
      <c r="O17" s="122" t="s">
        <v>263</v>
      </c>
      <c r="P17" s="127" t="s">
        <v>265</v>
      </c>
      <c r="Q17" s="374" t="s">
        <v>95</v>
      </c>
      <c r="R17" s="375"/>
    </row>
    <row r="18" spans="2:18" ht="15" hidden="1" thickBot="1" x14ac:dyDescent="0.35">
      <c r="B18" s="373"/>
      <c r="C18" s="271"/>
      <c r="D18" s="123" t="s">
        <v>24</v>
      </c>
      <c r="E18" s="124">
        <v>2900</v>
      </c>
      <c r="F18" s="125">
        <v>125</v>
      </c>
      <c r="G18" s="125">
        <v>75</v>
      </c>
      <c r="H18" s="125">
        <v>35</v>
      </c>
      <c r="I18" s="125">
        <v>65</v>
      </c>
      <c r="J18" s="125">
        <v>75</v>
      </c>
      <c r="K18" s="126">
        <f t="shared" si="0"/>
        <v>3275</v>
      </c>
      <c r="L18" s="125">
        <v>200</v>
      </c>
      <c r="M18" s="126">
        <f t="shared" si="2"/>
        <v>3475</v>
      </c>
      <c r="N18" s="127" t="s">
        <v>268</v>
      </c>
      <c r="O18" s="122" t="s">
        <v>263</v>
      </c>
      <c r="P18" s="127" t="s">
        <v>265</v>
      </c>
      <c r="Q18" s="376"/>
      <c r="R18" s="377"/>
    </row>
    <row r="19" spans="2:18" x14ac:dyDescent="0.3">
      <c r="B19" s="258" t="s">
        <v>261</v>
      </c>
      <c r="C19" s="260" t="s">
        <v>117</v>
      </c>
      <c r="D19" s="123" t="s">
        <v>18</v>
      </c>
      <c r="E19" s="124">
        <f>SUM(2900+75+50)</f>
        <v>3025</v>
      </c>
      <c r="F19" s="125">
        <v>125</v>
      </c>
      <c r="G19" s="125">
        <v>75</v>
      </c>
      <c r="H19" s="125">
        <v>35</v>
      </c>
      <c r="I19" s="125">
        <v>65</v>
      </c>
      <c r="J19" s="125">
        <v>50</v>
      </c>
      <c r="K19" s="126">
        <f t="shared" si="0"/>
        <v>3375</v>
      </c>
      <c r="L19" s="125">
        <v>200</v>
      </c>
      <c r="M19" s="126">
        <f>SUM(K19:L19)</f>
        <v>3575</v>
      </c>
      <c r="N19" s="127" t="s">
        <v>185</v>
      </c>
      <c r="O19" s="122">
        <v>46209</v>
      </c>
      <c r="P19" s="127" t="s">
        <v>123</v>
      </c>
      <c r="Q19" s="378" t="s">
        <v>267</v>
      </c>
      <c r="R19" s="379"/>
    </row>
    <row r="20" spans="2:18" ht="30.6" customHeight="1" thickBot="1" x14ac:dyDescent="0.35">
      <c r="B20" s="267"/>
      <c r="C20" s="268"/>
      <c r="D20" s="123" t="s">
        <v>24</v>
      </c>
      <c r="E20" s="124">
        <f>SUM(3100+75+50)</f>
        <v>3225</v>
      </c>
      <c r="F20" s="125">
        <v>125</v>
      </c>
      <c r="G20" s="125">
        <v>75</v>
      </c>
      <c r="H20" s="125">
        <v>35</v>
      </c>
      <c r="I20" s="125">
        <v>65</v>
      </c>
      <c r="J20" s="125">
        <v>50</v>
      </c>
      <c r="K20" s="126">
        <f t="shared" si="0"/>
        <v>3575</v>
      </c>
      <c r="L20" s="125">
        <v>200</v>
      </c>
      <c r="M20" s="126">
        <f>SUM(K20:L20)</f>
        <v>3775</v>
      </c>
      <c r="N20" s="127" t="s">
        <v>185</v>
      </c>
      <c r="O20" s="122">
        <v>46209</v>
      </c>
      <c r="P20" s="127" t="s">
        <v>123</v>
      </c>
      <c r="Q20" s="376"/>
      <c r="R20" s="377"/>
    </row>
    <row r="21" spans="2:18" ht="15.6" x14ac:dyDescent="0.3">
      <c r="B21" s="346" t="s">
        <v>34</v>
      </c>
      <c r="C21" s="347"/>
      <c r="D21" s="347"/>
      <c r="E21" s="347"/>
      <c r="F21" s="347"/>
      <c r="G21" s="347"/>
      <c r="H21" s="347"/>
      <c r="I21" s="347"/>
      <c r="J21" s="347"/>
      <c r="K21" s="347"/>
      <c r="L21" s="347"/>
      <c r="M21" s="347"/>
      <c r="N21" s="347"/>
      <c r="O21" s="347"/>
      <c r="P21" s="348"/>
    </row>
    <row r="22" spans="2:18" x14ac:dyDescent="0.3">
      <c r="B22" s="309" t="s">
        <v>35</v>
      </c>
      <c r="C22" s="310"/>
      <c r="D22" s="310"/>
      <c r="E22" s="310"/>
      <c r="F22" s="310"/>
      <c r="G22" s="310"/>
      <c r="H22" s="310"/>
      <c r="I22" s="310"/>
      <c r="J22" s="310"/>
      <c r="K22" s="310"/>
      <c r="L22" s="310"/>
      <c r="M22" s="310"/>
      <c r="N22" s="310"/>
      <c r="O22" s="310"/>
      <c r="P22" s="311"/>
    </row>
    <row r="23" spans="2:18" x14ac:dyDescent="0.3">
      <c r="B23" s="312"/>
      <c r="C23" s="237"/>
      <c r="D23" s="237"/>
      <c r="E23" s="237"/>
      <c r="F23" s="237"/>
      <c r="G23" s="237"/>
      <c r="H23" s="237"/>
      <c r="I23" s="237"/>
      <c r="J23" s="237"/>
      <c r="K23" s="237"/>
      <c r="L23" s="237"/>
      <c r="M23" s="237"/>
      <c r="N23" s="237"/>
      <c r="O23" s="237"/>
      <c r="P23" s="313"/>
    </row>
    <row r="24" spans="2:18" x14ac:dyDescent="0.3">
      <c r="B24" s="312"/>
      <c r="C24" s="237"/>
      <c r="D24" s="237"/>
      <c r="E24" s="237"/>
      <c r="F24" s="237"/>
      <c r="G24" s="237"/>
      <c r="H24" s="237"/>
      <c r="I24" s="237"/>
      <c r="J24" s="237"/>
      <c r="K24" s="237"/>
      <c r="L24" s="237"/>
      <c r="M24" s="237"/>
      <c r="N24" s="237"/>
      <c r="O24" s="237"/>
      <c r="P24" s="313"/>
    </row>
    <row r="25" spans="2:18" x14ac:dyDescent="0.3">
      <c r="B25" s="314"/>
      <c r="C25" s="315"/>
      <c r="D25" s="315"/>
      <c r="E25" s="315"/>
      <c r="F25" s="315"/>
      <c r="G25" s="315"/>
      <c r="H25" s="315"/>
      <c r="I25" s="315"/>
      <c r="J25" s="315"/>
      <c r="K25" s="315"/>
      <c r="L25" s="315"/>
      <c r="M25" s="315"/>
      <c r="N25" s="315"/>
      <c r="O25" s="315"/>
      <c r="P25" s="316"/>
    </row>
  </sheetData>
  <sheetProtection algorithmName="SHA-512" hashValue="if/5kSaaVyWEe3fQ2lpCuFE8i2N661stzdYDR5NXbz2Wl1UJFsbvO78odnAPGuVE1FS5fC9SW6MuErdqORlgoA==" saltValue="TY1XXESOo4eLj3PzYgGusQ==" spinCount="100000" sheet="1" objects="1" scenarios="1"/>
  <mergeCells count="20">
    <mergeCell ref="B9:R9"/>
    <mergeCell ref="B15:B16"/>
    <mergeCell ref="C15:C16"/>
    <mergeCell ref="Q15:R16"/>
    <mergeCell ref="B13:B14"/>
    <mergeCell ref="C13:C14"/>
    <mergeCell ref="Q13:R14"/>
    <mergeCell ref="C10:D10"/>
    <mergeCell ref="Q10:R10"/>
    <mergeCell ref="B11:B12"/>
    <mergeCell ref="C11:C12"/>
    <mergeCell ref="Q11:R12"/>
    <mergeCell ref="B21:P21"/>
    <mergeCell ref="B22:P25"/>
    <mergeCell ref="B17:B18"/>
    <mergeCell ref="C17:C18"/>
    <mergeCell ref="Q17:R18"/>
    <mergeCell ref="B19:B20"/>
    <mergeCell ref="C19:C20"/>
    <mergeCell ref="Q19:R20"/>
  </mergeCells>
  <phoneticPr fontId="14"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bf418b7-79e0-4993-aa07-d31c53a64380">
      <Terms xmlns="http://schemas.microsoft.com/office/infopath/2007/PartnerControls"/>
    </lcf76f155ced4ddcb4097134ff3c332f>
    <TaxCatchAll xmlns="268ad1c4-fabf-4dd0-b894-8fd5403102c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F631F92D611394D900040A4BC36CE07" ma:contentTypeVersion="13" ma:contentTypeDescription="Create a new document." ma:contentTypeScope="" ma:versionID="711a2ec75ffd0c152903cfa2dedf38be">
  <xsd:schema xmlns:xsd="http://www.w3.org/2001/XMLSchema" xmlns:xs="http://www.w3.org/2001/XMLSchema" xmlns:p="http://schemas.microsoft.com/office/2006/metadata/properties" xmlns:ns2="8bf418b7-79e0-4993-aa07-d31c53a64380" xmlns:ns3="268ad1c4-fabf-4dd0-b894-8fd5403102c0" targetNamespace="http://schemas.microsoft.com/office/2006/metadata/properties" ma:root="true" ma:fieldsID="0628c710989f2757c815e19c03677863" ns2:_="" ns3:_="">
    <xsd:import namespace="8bf418b7-79e0-4993-aa07-d31c53a64380"/>
    <xsd:import namespace="268ad1c4-fabf-4dd0-b894-8fd5403102c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f418b7-79e0-4993-aa07-d31c53a643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27a1fce-5aba-44a5-8298-25d241903758"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68ad1c4-fabf-4dd0-b894-8fd5403102c0"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3b03a17-ced9-458e-af6e-94abc3494fc3}" ma:internalName="TaxCatchAll" ma:showField="CatchAllData" ma:web="268ad1c4-fabf-4dd0-b894-8fd5403102c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AAFA3EB-B8AB-4135-B122-0B0233A6C07D}">
  <ds:schemaRefs>
    <ds:schemaRef ds:uri="http://schemas.microsoft.com/sharepoint/v3/contenttype/forms"/>
  </ds:schemaRefs>
</ds:datastoreItem>
</file>

<file path=customXml/itemProps2.xml><?xml version="1.0" encoding="utf-8"?>
<ds:datastoreItem xmlns:ds="http://schemas.openxmlformats.org/officeDocument/2006/customXml" ds:itemID="{900DAED1-575B-462E-9521-61C8D8B6DAE7}">
  <ds:schemaRefs>
    <ds:schemaRef ds:uri="http://schemas.microsoft.com/office/2006/metadata/properties"/>
    <ds:schemaRef ds:uri="http://schemas.microsoft.com/office/infopath/2007/PartnerControls"/>
    <ds:schemaRef ds:uri="8bf418b7-79e0-4993-aa07-d31c53a64380"/>
    <ds:schemaRef ds:uri="268ad1c4-fabf-4dd0-b894-8fd5403102c0"/>
  </ds:schemaRefs>
</ds:datastoreItem>
</file>

<file path=customXml/itemProps3.xml><?xml version="1.0" encoding="utf-8"?>
<ds:datastoreItem xmlns:ds="http://schemas.openxmlformats.org/officeDocument/2006/customXml" ds:itemID="{1A722593-7143-4ACD-9A00-2A0E702145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f418b7-79e0-4993-aa07-d31c53a64380"/>
    <ds:schemaRef ds:uri="268ad1c4-fabf-4dd0-b894-8fd5403102c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TT</vt:lpstr>
      <vt:lpstr>GUY</vt:lpstr>
      <vt:lpstr>SUR</vt:lpstr>
      <vt:lpstr>Trinidad Exports</vt:lpstr>
      <vt:lpstr>COL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Shivana Loach</dc:creator>
  <cp:keywords/>
  <dc:description/>
  <cp:lastModifiedBy>Stephanie Galera</cp:lastModifiedBy>
  <cp:revision/>
  <dcterms:created xsi:type="dcterms:W3CDTF">2024-04-15T12:06:48Z</dcterms:created>
  <dcterms:modified xsi:type="dcterms:W3CDTF">2026-06-09T14:26:32Z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0x010100BF631F92D611394D900040A4BC36CE07</vt:lpwstr>
  </property>
  <property fmtid="{D5CDD505-2E9C-101B-9397-08002B2CF9AE}" pid="3" name="MediaServiceImageTags">
    <vt:lpwstr/>
  </property>
</Properties>
</file>